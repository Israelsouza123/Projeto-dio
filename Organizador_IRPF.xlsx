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sraelsouza/Downloads/"/>
    </mc:Choice>
  </mc:AlternateContent>
  <xr:revisionPtr revIDLastSave="0" documentId="8_{C61556A3-E883-684C-AEF2-6F320A8C1AC4}" xr6:coauthVersionLast="47" xr6:coauthVersionMax="47" xr10:uidLastSave="{00000000-0000-0000-0000-000000000000}"/>
  <bookViews>
    <workbookView xWindow="0" yWindow="620" windowWidth="28160" windowHeight="15460" activeTab="1" xr2:uid="{00000000-000D-0000-FFFF-FFFF00000000}"/>
  </bookViews>
  <sheets>
    <sheet name="Listas_aux" sheetId="1" state="veryHidden" r:id="rId1"/>
    <sheet name="Menu" sheetId="2" r:id="rId2"/>
    <sheet name="Contribuinte" sheetId="3" r:id="rId3"/>
    <sheet name="Dependentes" sheetId="4" r:id="rId4"/>
    <sheet name="Rendimentos" sheetId="5" r:id="rId5"/>
    <sheet name="Pagamentos" sheetId="6" r:id="rId6"/>
    <sheet name="Bens e Direitos" sheetId="7" r:id="rId7"/>
    <sheet name="Dívidas e Ônus" sheetId="8" r:id="rId8"/>
    <sheet name="Resumo" sheetId="9" r:id="rId9"/>
  </sheets>
  <definedNames>
    <definedName name="_xlnm._FilterDatabase" localSheetId="6" hidden="1">'Bens e Direitos'!$A$4:$E$4</definedName>
    <definedName name="_xlnm._FilterDatabase" localSheetId="3" hidden="1">Dependentes!$A$4:$E$4</definedName>
    <definedName name="_xlnm._FilterDatabase" localSheetId="7" hidden="1">'Dívidas e Ônus'!$A$4:$E$4</definedName>
    <definedName name="_xlnm._FilterDatabase" localSheetId="5" hidden="1">Pagamentos!$A$4:$G$4</definedName>
    <definedName name="_xlnm._FilterDatabase" localSheetId="4" hidden="1">Rendimentos!$A$4:$G$4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9" l="1"/>
  <c r="B33" i="9"/>
  <c r="B32" i="9"/>
  <c r="B31" i="9"/>
  <c r="B30" i="9"/>
  <c r="B29" i="9"/>
  <c r="B26" i="9"/>
  <c r="B25" i="9"/>
  <c r="B21" i="9"/>
  <c r="B20" i="9"/>
  <c r="B19" i="9"/>
  <c r="B18" i="9"/>
  <c r="B17" i="9"/>
  <c r="B16" i="9"/>
  <c r="B15" i="9"/>
  <c r="B14" i="9"/>
  <c r="B13" i="9"/>
  <c r="B10" i="9"/>
  <c r="B9" i="9"/>
  <c r="B8" i="9"/>
  <c r="B7" i="9"/>
  <c r="B6" i="9"/>
  <c r="B5" i="9"/>
  <c r="D55" i="8"/>
  <c r="C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5" i="8" s="1"/>
  <c r="E5" i="8"/>
  <c r="D55" i="7"/>
  <c r="C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55" i="7" s="1"/>
  <c r="E55" i="6"/>
  <c r="D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B22" i="9" s="1"/>
  <c r="F55" i="5"/>
  <c r="E55" i="5"/>
  <c r="D55" i="5"/>
  <c r="B36" i="4"/>
  <c r="F55" i="6" l="1"/>
</calcChain>
</file>

<file path=xl/sharedStrings.xml><?xml version="1.0" encoding="utf-8"?>
<sst xmlns="http://schemas.openxmlformats.org/spreadsheetml/2006/main" count="204" uniqueCount="175">
  <si>
    <t>🧾 Organizador — Declaração de Imposto de Renda</t>
  </si>
  <si>
    <t>Reúna, organize e valide todas as informações antes de preencher o programa oficial da Receita Federal. Preencha as células amarelas de cada aba.</t>
  </si>
  <si>
    <t>Ano-calendário da declaração:</t>
  </si>
  <si>
    <t>MENU DE NAVEGAÇÃO — clique no nome da aba para ir direto a ela</t>
  </si>
  <si>
    <t>▶ 1 · Contribuinte</t>
  </si>
  <si>
    <t>Dados pessoais, contato e conta bancária para restituição.</t>
  </si>
  <si>
    <t>▶ 2 · Dependentes</t>
  </si>
  <si>
    <t>Dependentes e alimentandos: nome, CPF, nascimento e parentesco.</t>
  </si>
  <si>
    <t>▶ 3 · Rendimentos</t>
  </si>
  <si>
    <t>Fontes pagadoras e valores recebidos (tributáveis, isentos e exclusivos).</t>
  </si>
  <si>
    <t>▶ 4 · Pagamentos</t>
  </si>
  <si>
    <t>Despesas dedutíveis: saúde, educação, previdência, pensão e outros.</t>
  </si>
  <si>
    <t>▶ 5 · Bens e Direitos</t>
  </si>
  <si>
    <t>Imóveis, veículos, contas e investimentos em 31/12.</t>
  </si>
  <si>
    <t>▶ 6 · Dívidas e Ônus</t>
  </si>
  <si>
    <t>Empréstimos e financiamentos em aberto em 31/12.</t>
  </si>
  <si>
    <t>▶ 7 · Resumo</t>
  </si>
  <si>
    <t>Totais automáticos e checklist de conferência antes de declarar.</t>
  </si>
  <si>
    <t>LINKS RÁPIDOS — SITES OFICIAIS</t>
  </si>
  <si>
    <t>🔗 Meu Imposto de Renda (Receita Federal)</t>
  </si>
  <si>
    <t>🔗 Portal e-CAC (extrato da declaração, pendências e malha)</t>
  </si>
  <si>
    <t>🔗 Baixar o programa oficial do IRPF</t>
  </si>
  <si>
    <t>🔗 Consultar a restituição</t>
  </si>
  <si>
    <t>COMO USAR</t>
  </si>
  <si>
    <t>1. Comece pela aba Contribuinte e siga a ordem do menu.</t>
  </si>
  <si>
    <t>2. Campos com * são essenciais. Células amarelas são os campos de preenchimento.</t>
  </si>
  <si>
    <t>3. Listas suspensas, datas e valores são validados automaticamente — se algo estiver fora do padrão, o Excel avisa na hora.</t>
  </si>
  <si>
    <t>4. Campos obrigatórios esquecidos ficam destacados em vermelho na aba Contribuinte, e a aba Resumo mostra um checklist automático do que ainda falta.</t>
  </si>
  <si>
    <t>5. Ao terminar, confira os totais na aba Resumo e transcreva os dados para o programa oficial.</t>
  </si>
  <si>
    <t>CHECKLIST RÁPIDO DE DOCUMENTOS</t>
  </si>
  <si>
    <t>☐ Informes de rendimentos de todas as fontes pagadoras (empresas, bancos, corretoras)</t>
  </si>
  <si>
    <t>☐ Comprovantes de despesas médicas e de planos de saúde</t>
  </si>
  <si>
    <t>☐ Comprovantes de despesas com educação</t>
  </si>
  <si>
    <t>☐ Extratos de contas e aplicações financeiras em 31/12</t>
  </si>
  <si>
    <t>☐ Documentos de compra/venda de imóveis e veículos no ano</t>
  </si>
  <si>
    <t>☐ Declaração do ano anterior (arquivo .dec ou PDF), se houver</t>
  </si>
  <si>
    <t>ocupacao</t>
  </si>
  <si>
    <t>banco</t>
  </si>
  <si>
    <t>parentesco</t>
  </si>
  <si>
    <t>tipo_rend</t>
  </si>
  <si>
    <t>categoria</t>
  </si>
  <si>
    <t>grupo_bem</t>
  </si>
  <si>
    <t>tipo_divida</t>
  </si>
  <si>
    <t>Aposentado(a)</t>
  </si>
  <si>
    <t>Banco do Brasil</t>
  </si>
  <si>
    <t>Filho(a)</t>
  </si>
  <si>
    <t>Tributável</t>
  </si>
  <si>
    <t>Despesas médicas</t>
  </si>
  <si>
    <t>Imóveis</t>
  </si>
  <si>
    <t>Empréstimo bancário</t>
  </si>
  <si>
    <t>Autônomo(a)</t>
  </si>
  <si>
    <t>Caixa Econômica Federal</t>
  </si>
  <si>
    <t>Enteado(a)</t>
  </si>
  <si>
    <t>Isento e não tributável</t>
  </si>
  <si>
    <t>Plano de saúde</t>
  </si>
  <si>
    <t>Veículos</t>
  </si>
  <si>
    <t>Financiamento imobiliário</t>
  </si>
  <si>
    <t>Empregado(a) CLT</t>
  </si>
  <si>
    <t>Bradesco</t>
  </si>
  <si>
    <t>Cônjuge/companheiro(a)</t>
  </si>
  <si>
    <t>Tributação exclusiva/definitiva</t>
  </si>
  <si>
    <t>Educação</t>
  </si>
  <si>
    <t>Contas e dinheiro</t>
  </si>
  <si>
    <t>Financiamento de veículo</t>
  </si>
  <si>
    <t>Empresário(a)/Sócio(a)</t>
  </si>
  <si>
    <t>Itaú</t>
  </si>
  <si>
    <t>Pai</t>
  </si>
  <si>
    <t>Previdência oficial (INSS)</t>
  </si>
  <si>
    <t>Aplicações e investimentos</t>
  </si>
  <si>
    <t>Cartão de crédito</t>
  </si>
  <si>
    <t>Estudante</t>
  </si>
  <si>
    <t>Santander</t>
  </si>
  <si>
    <t>Mãe</t>
  </si>
  <si>
    <t>Previdência privada (PGBL)</t>
  </si>
  <si>
    <t>Participações em empresas</t>
  </si>
  <si>
    <t>Empréstimo de pessoa física</t>
  </si>
  <si>
    <t>Funcionário(a) público(a)</t>
  </si>
  <si>
    <t>Nubank</t>
  </si>
  <si>
    <t>Avô(ó)</t>
  </si>
  <si>
    <t>Pensão alimentícia</t>
  </si>
  <si>
    <t>Outros bens e direitos</t>
  </si>
  <si>
    <t>Outras dívidas</t>
  </si>
  <si>
    <t>Profissional liberal</t>
  </si>
  <si>
    <t>Inter</t>
  </si>
  <si>
    <t>Irmão(ã)</t>
  </si>
  <si>
    <t>Doações incentivadas</t>
  </si>
  <si>
    <t>Sem ocupação</t>
  </si>
  <si>
    <t>C6 Bank</t>
  </si>
  <si>
    <t>Neto(a)</t>
  </si>
  <si>
    <t>Serviços de profissionais</t>
  </si>
  <si>
    <t>Outro</t>
  </si>
  <si>
    <t>Outros pagamentos</t>
  </si>
  <si>
    <t>◀ Voltar ao Menu</t>
  </si>
  <si>
    <t>Dados do Contribuinte  (* = essencial)</t>
  </si>
  <si>
    <t>Nome completo *</t>
  </si>
  <si>
    <t>Conforme o CPF.</t>
  </si>
  <si>
    <t>CPF *</t>
  </si>
  <si>
    <t>11 dígitos — com ou sem pontuação.</t>
  </si>
  <si>
    <t>Data de nascimento *</t>
  </si>
  <si>
    <t>Formato dd/mm/aaaa.</t>
  </si>
  <si>
    <t>Título de eleitor</t>
  </si>
  <si>
    <t>Opcional.</t>
  </si>
  <si>
    <t>Ocupação principal</t>
  </si>
  <si>
    <t>Escolha na lista.</t>
  </si>
  <si>
    <t>Endereço completo</t>
  </si>
  <si>
    <t>Rua, número, bairro, cidade/UF e CEP.</t>
  </si>
  <si>
    <t>E-mail</t>
  </si>
  <si>
    <t>Usado pela Receita para avisos.</t>
  </si>
  <si>
    <t>Telefone / celular</t>
  </si>
  <si>
    <t>Com DDD.</t>
  </si>
  <si>
    <t>Banco (restituição)</t>
  </si>
  <si>
    <t>Agência</t>
  </si>
  <si>
    <t>Sem o dígito, se houver campo separado.</t>
  </si>
  <si>
    <t>Conta (com dígito)</t>
  </si>
  <si>
    <t>Conta para crédito da restituição.</t>
  </si>
  <si>
    <t>Nome do cônjuge/companheiro(a)</t>
  </si>
  <si>
    <t>Se aplicável.</t>
  </si>
  <si>
    <t>CPF do cônjuge</t>
  </si>
  <si>
    <t>Dica: campos essenciais vazios ficam em vermelho até serem preenchidos.</t>
  </si>
  <si>
    <t>Dependentes e Alimentandos</t>
  </si>
  <si>
    <t>Um dependente por linha. O CPF é obrigatório para todos os dependentes.</t>
  </si>
  <si>
    <t>Parentesco *</t>
  </si>
  <si>
    <t>Observações</t>
  </si>
  <si>
    <t>Total de dependentes informados:</t>
  </si>
  <si>
    <t>Rendimentos — Fontes Pagadoras</t>
  </si>
  <si>
    <t>Uma linha por fonte pagadora, conforme o informe de rendimentos. Classifique o tipo: tributável, isento ou de tributação exclusiva.</t>
  </si>
  <si>
    <t>Tipo *</t>
  </si>
  <si>
    <t>Fonte pagadora *</t>
  </si>
  <si>
    <t>CNPJ/CPF da fonte *</t>
  </si>
  <si>
    <t>Valor recebido (R$) *</t>
  </si>
  <si>
    <t>Imposto retido — IRRF (R$)</t>
  </si>
  <si>
    <t>13º salário (R$)</t>
  </si>
  <si>
    <t>TOTAL</t>
  </si>
  <si>
    <t>Pagamentos e Despesas Dedutíveis</t>
  </si>
  <si>
    <t>Registre as despesas que podem reduzir o imposto. O valor dedutível é calculado automaticamente (valor pago − reembolso).</t>
  </si>
  <si>
    <t>Categoria *</t>
  </si>
  <si>
    <t>Beneficiário / recebedor *</t>
  </si>
  <si>
    <t>CNPJ/CPF *</t>
  </si>
  <si>
    <t>Valor pago (R$) *</t>
  </si>
  <si>
    <t>Valor reembolsado (R$)</t>
  </si>
  <si>
    <t>Valor dedutível (R$) — automático</t>
  </si>
  <si>
    <t>Bens e Direitos</t>
  </si>
  <si>
    <t>Informe a posição em 31/12 do ano anterior e em 31/12 do ano-calendário. A variação é automática.</t>
  </si>
  <si>
    <t>Grupo *</t>
  </si>
  <si>
    <t>Descrição *</t>
  </si>
  <si>
    <t>Valor em 31/12 ano anterior (R$)</t>
  </si>
  <si>
    <t>Valor em 31/12 ano atual (R$)</t>
  </si>
  <si>
    <t>Variação (R$) — automático</t>
  </si>
  <si>
    <t>Dívidas e Ônus Reais</t>
  </si>
  <si>
    <t>Empréstimos e financiamentos em aberto. Não inclua dívidas de valor igual ou inferior a R$ 5.000,00 (dispensadas pela Receita).</t>
  </si>
  <si>
    <t>Credor *</t>
  </si>
  <si>
    <t>Saldo em 31/12 ano anterior (R$)</t>
  </si>
  <si>
    <t>Saldo em 31/12 ano atual (R$)</t>
  </si>
  <si>
    <t>Resumo e Conferência Automática</t>
  </si>
  <si>
    <t>TOTAIS DE RENDIMENTOS</t>
  </si>
  <si>
    <t>Rendimentos tributáveis</t>
  </si>
  <si>
    <t>Rendimentos isentos e não tributáveis</t>
  </si>
  <si>
    <t>Rendimentos de tributação exclusiva/definitiva</t>
  </si>
  <si>
    <t>Imposto retido na fonte (IRRF) — total</t>
  </si>
  <si>
    <t>13º salário — total</t>
  </si>
  <si>
    <t>Dependentes informados</t>
  </si>
  <si>
    <t>DEDUÇÕES (PAGAMENTOS) — POR CATEGORIA</t>
  </si>
  <si>
    <t>TOTAL DE DEDUÇÕES REGISTRADAS</t>
  </si>
  <si>
    <t>Atenção: nem todo pagamento é dedutível sem limites — educação e previdência têm tetos legais.</t>
  </si>
  <si>
    <t>PATRIMÔNIO EM 31/12 DO ANO ATUAL</t>
  </si>
  <si>
    <t>Total de bens e direitos</t>
  </si>
  <si>
    <t>Total de dívidas e ônus</t>
  </si>
  <si>
    <t>CHECKLIST AUTOMÁTICO — O QUE AINDA FALTA</t>
  </si>
  <si>
    <t>Nome do contribuinte preenchido</t>
  </si>
  <si>
    <t>CPF do contribuinte preenchido</t>
  </si>
  <si>
    <t>Data de nascimento preenchida</t>
  </si>
  <si>
    <t>Pelo menos uma fonte de rendimento informada</t>
  </si>
  <si>
    <t>CPFs de todos os dependentes preenchidos</t>
  </si>
  <si>
    <t>Fontes com CNPJ/CPF informados</t>
  </si>
  <si>
    <t>Observação: esta ferramenta organiza e confere os dados para a declaração. Ela não substitui o programa oficial da Receita Federal, onde o imposto é calculado e a declaração é transmitida.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</si>
</sst>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b/>
      <sz val="12"/>
      <color rgb="FF1F4E79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b/>
      <sz val="14"/>
      <color rgb="FFFFFFFF"/>
      <name val="Calibri"/>
      <family val="2"/>
    </font>
    <font>
      <i/>
      <sz val="10"/>
      <color rgb="FF808080"/>
      <name val="Calibri"/>
      <family val="2"/>
    </font>
    <font>
      <i/>
      <sz val="10"/>
      <color rgb="FFC00000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3" fillId="3" borderId="1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6" fillId="3" borderId="1" xfId="0" applyFont="1" applyFill="1" applyBorder="1"/>
    <xf numFmtId="0" fontId="9" fillId="0" borderId="0" xfId="0" applyFont="1"/>
    <xf numFmtId="49" fontId="6" fillId="3" borderId="1" xfId="0" applyNumberFormat="1" applyFont="1" applyFill="1" applyBorder="1"/>
    <xf numFmtId="14" fontId="6" fillId="3" borderId="1" xfId="0" applyNumberFormat="1" applyFont="1" applyFill="1" applyBorder="1"/>
    <xf numFmtId="0" fontId="10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164" fontId="6" fillId="3" borderId="1" xfId="0" applyNumberFormat="1" applyFont="1" applyFill="1" applyBorder="1"/>
    <xf numFmtId="0" fontId="0" fillId="5" borderId="1" xfId="0" applyFill="1" applyBorder="1"/>
    <xf numFmtId="164" fontId="3" fillId="5" borderId="1" xfId="0" applyNumberFormat="1" applyFont="1" applyFill="1" applyBorder="1"/>
    <xf numFmtId="164" fontId="6" fillId="6" borderId="1" xfId="0" applyNumberFormat="1" applyFont="1" applyFill="1" applyBorder="1"/>
    <xf numFmtId="0" fontId="6" fillId="0" borderId="1" xfId="0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/>
    <xf numFmtId="0" fontId="4" fillId="4" borderId="0" xfId="0" applyFont="1" applyFill="1"/>
    <xf numFmtId="0" fontId="1" fillId="2" borderId="0" xfId="0" applyFont="1" applyFill="1" applyAlignment="1">
      <alignment vertical="center"/>
    </xf>
    <xf numFmtId="0" fontId="7" fillId="0" borderId="0" xfId="0" applyFont="1"/>
    <xf numFmtId="0" fontId="2" fillId="0" borderId="0" xfId="0" applyFont="1" applyAlignment="1">
      <alignment vertical="center" wrapText="1"/>
    </xf>
    <xf numFmtId="0" fontId="8" fillId="2" borderId="0" xfId="0" applyFont="1" applyFill="1" applyAlignment="1">
      <alignment vertical="center"/>
    </xf>
    <xf numFmtId="0" fontId="11" fillId="0" borderId="0" xfId="0" applyFont="1"/>
    <xf numFmtId="0" fontId="3" fillId="0" borderId="1" xfId="0" applyFont="1" applyBorder="1"/>
    <xf numFmtId="0" fontId="0" fillId="0" borderId="2" xfId="0" applyBorder="1"/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br/receitafederal/pt-br/centrais-de-conteudo/download-pgd-e-apps/irpf" TargetMode="External"/><Relationship Id="rId2" Type="http://schemas.openxmlformats.org/officeDocument/2006/relationships/hyperlink" Target="https://cav.receita.fazenda.gov.br/autenticacao/login" TargetMode="External"/><Relationship Id="rId1" Type="http://schemas.openxmlformats.org/officeDocument/2006/relationships/hyperlink" Target="https://www.gov.br/receitafederal/pt-br/assuntos/meu-imposto-de-renda" TargetMode="External"/><Relationship Id="rId4" Type="http://schemas.openxmlformats.org/officeDocument/2006/relationships/hyperlink" Target="https://www.gov.br/receitafederal/pt-br/assuntos/meu-imposto-de-renda/consulta-restituic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</row>
    <row r="3" spans="1:7" x14ac:dyDescent="0.2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</row>
    <row r="5" spans="1:7" x14ac:dyDescent="0.2">
      <c r="A5" t="s">
        <v>64</v>
      </c>
      <c r="B5" t="s">
        <v>65</v>
      </c>
      <c r="C5" t="s">
        <v>66</v>
      </c>
      <c r="E5" t="s">
        <v>67</v>
      </c>
      <c r="F5" t="s">
        <v>68</v>
      </c>
      <c r="G5" t="s">
        <v>69</v>
      </c>
    </row>
    <row r="6" spans="1:7" x14ac:dyDescent="0.2">
      <c r="A6" t="s">
        <v>70</v>
      </c>
      <c r="B6" t="s">
        <v>71</v>
      </c>
      <c r="C6" t="s">
        <v>72</v>
      </c>
      <c r="E6" t="s">
        <v>73</v>
      </c>
      <c r="F6" t="s">
        <v>74</v>
      </c>
      <c r="G6" t="s">
        <v>75</v>
      </c>
    </row>
    <row r="7" spans="1:7" x14ac:dyDescent="0.2">
      <c r="A7" t="s">
        <v>76</v>
      </c>
      <c r="B7" t="s">
        <v>77</v>
      </c>
      <c r="C7" t="s">
        <v>78</v>
      </c>
      <c r="E7" t="s">
        <v>79</v>
      </c>
      <c r="F7" t="s">
        <v>80</v>
      </c>
      <c r="G7" t="s">
        <v>81</v>
      </c>
    </row>
    <row r="8" spans="1:7" x14ac:dyDescent="0.2">
      <c r="A8" t="s">
        <v>82</v>
      </c>
      <c r="B8" t="s">
        <v>83</v>
      </c>
      <c r="C8" t="s">
        <v>84</v>
      </c>
      <c r="E8" t="s">
        <v>85</v>
      </c>
    </row>
    <row r="9" spans="1:7" x14ac:dyDescent="0.2">
      <c r="A9" t="s">
        <v>86</v>
      </c>
      <c r="B9" t="s">
        <v>87</v>
      </c>
      <c r="C9" t="s">
        <v>88</v>
      </c>
      <c r="E9" t="s">
        <v>89</v>
      </c>
    </row>
    <row r="10" spans="1:7" x14ac:dyDescent="0.2">
      <c r="A10" t="s">
        <v>90</v>
      </c>
      <c r="B10" t="s">
        <v>90</v>
      </c>
      <c r="C10" t="s">
        <v>90</v>
      </c>
      <c r="E10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4"/>
  <sheetViews>
    <sheetView showGridLines="0" tabSelected="1" topLeftCell="A2" workbookViewId="0">
      <selection activeCell="B4" sqref="B4"/>
    </sheetView>
  </sheetViews>
  <sheetFormatPr baseColWidth="10" defaultColWidth="8.83203125" defaultRowHeight="15" x14ac:dyDescent="0.2"/>
  <cols>
    <col min="1" max="1" width="34" customWidth="1"/>
    <col min="2" max="2" width="72" customWidth="1"/>
  </cols>
  <sheetData>
    <row r="1" spans="1:2" ht="34" customHeight="1" x14ac:dyDescent="0.2">
      <c r="A1" s="25" t="s">
        <v>0</v>
      </c>
      <c r="B1" s="22"/>
    </row>
    <row r="2" spans="1:2" ht="30" customHeight="1" x14ac:dyDescent="0.2">
      <c r="A2" s="27" t="s">
        <v>1</v>
      </c>
      <c r="B2" s="22"/>
    </row>
    <row r="4" spans="1:2" x14ac:dyDescent="0.2">
      <c r="A4" s="1" t="s">
        <v>2</v>
      </c>
      <c r="B4" s="2">
        <v>2026</v>
      </c>
    </row>
    <row r="6" spans="1:2" x14ac:dyDescent="0.2">
      <c r="A6" s="24" t="s">
        <v>3</v>
      </c>
      <c r="B6" s="22"/>
    </row>
    <row r="7" spans="1:2" ht="20" customHeight="1" x14ac:dyDescent="0.2">
      <c r="A7" s="3" t="s">
        <v>4</v>
      </c>
      <c r="B7" s="4" t="s">
        <v>5</v>
      </c>
    </row>
    <row r="8" spans="1:2" ht="20" customHeight="1" x14ac:dyDescent="0.2">
      <c r="A8" s="3" t="s">
        <v>6</v>
      </c>
      <c r="B8" s="4" t="s">
        <v>7</v>
      </c>
    </row>
    <row r="9" spans="1:2" ht="20" customHeight="1" x14ac:dyDescent="0.2">
      <c r="A9" s="3" t="s">
        <v>8</v>
      </c>
      <c r="B9" s="4" t="s">
        <v>9</v>
      </c>
    </row>
    <row r="10" spans="1:2" ht="20" customHeight="1" x14ac:dyDescent="0.2">
      <c r="A10" s="3" t="s">
        <v>10</v>
      </c>
      <c r="B10" s="4" t="s">
        <v>11</v>
      </c>
    </row>
    <row r="11" spans="1:2" ht="20" customHeight="1" x14ac:dyDescent="0.2">
      <c r="A11" s="3" t="s">
        <v>12</v>
      </c>
      <c r="B11" s="4" t="s">
        <v>13</v>
      </c>
    </row>
    <row r="12" spans="1:2" ht="20" customHeight="1" x14ac:dyDescent="0.2">
      <c r="A12" s="3" t="s">
        <v>14</v>
      </c>
      <c r="B12" s="4" t="s">
        <v>15</v>
      </c>
    </row>
    <row r="13" spans="1:2" ht="20" customHeight="1" x14ac:dyDescent="0.2">
      <c r="A13" s="3" t="s">
        <v>16</v>
      </c>
      <c r="B13" s="4" t="s">
        <v>17</v>
      </c>
    </row>
    <row r="15" spans="1:2" x14ac:dyDescent="0.2">
      <c r="A15" s="24" t="s">
        <v>18</v>
      </c>
      <c r="B15" s="22"/>
    </row>
    <row r="16" spans="1:2" x14ac:dyDescent="0.2">
      <c r="A16" s="26" t="s">
        <v>19</v>
      </c>
      <c r="B16" s="22"/>
    </row>
    <row r="17" spans="1:2" x14ac:dyDescent="0.2">
      <c r="A17" s="26" t="s">
        <v>20</v>
      </c>
      <c r="B17" s="22"/>
    </row>
    <row r="18" spans="1:2" x14ac:dyDescent="0.2">
      <c r="A18" s="26" t="s">
        <v>21</v>
      </c>
      <c r="B18" s="22"/>
    </row>
    <row r="19" spans="1:2" x14ac:dyDescent="0.2">
      <c r="A19" s="26" t="s">
        <v>22</v>
      </c>
      <c r="B19" s="22"/>
    </row>
    <row r="21" spans="1:2" x14ac:dyDescent="0.2">
      <c r="A21" s="24" t="s">
        <v>23</v>
      </c>
      <c r="B21" s="22"/>
    </row>
    <row r="22" spans="1:2" ht="26" customHeight="1" x14ac:dyDescent="0.2">
      <c r="A22" s="21" t="s">
        <v>24</v>
      </c>
      <c r="B22" s="22"/>
    </row>
    <row r="23" spans="1:2" ht="26" customHeight="1" x14ac:dyDescent="0.2">
      <c r="A23" s="21" t="s">
        <v>25</v>
      </c>
      <c r="B23" s="22"/>
    </row>
    <row r="24" spans="1:2" ht="26" customHeight="1" x14ac:dyDescent="0.2">
      <c r="A24" s="21" t="s">
        <v>26</v>
      </c>
      <c r="B24" s="22"/>
    </row>
    <row r="25" spans="1:2" ht="26" customHeight="1" x14ac:dyDescent="0.2">
      <c r="A25" s="21" t="s">
        <v>27</v>
      </c>
      <c r="B25" s="22"/>
    </row>
    <row r="26" spans="1:2" ht="26" customHeight="1" x14ac:dyDescent="0.2">
      <c r="A26" s="21" t="s">
        <v>28</v>
      </c>
      <c r="B26" s="22"/>
    </row>
    <row r="28" spans="1:2" x14ac:dyDescent="0.2">
      <c r="A28" s="24" t="s">
        <v>29</v>
      </c>
      <c r="B28" s="22"/>
    </row>
    <row r="29" spans="1:2" x14ac:dyDescent="0.2">
      <c r="A29" s="23" t="s">
        <v>30</v>
      </c>
      <c r="B29" s="22"/>
    </row>
    <row r="30" spans="1:2" x14ac:dyDescent="0.2">
      <c r="A30" s="23" t="s">
        <v>31</v>
      </c>
      <c r="B30" s="22"/>
    </row>
    <row r="31" spans="1:2" x14ac:dyDescent="0.2">
      <c r="A31" s="23" t="s">
        <v>32</v>
      </c>
      <c r="B31" s="22"/>
    </row>
    <row r="32" spans="1:2" x14ac:dyDescent="0.2">
      <c r="A32" s="23" t="s">
        <v>33</v>
      </c>
      <c r="B32" s="22"/>
    </row>
    <row r="33" spans="1:2" x14ac:dyDescent="0.2">
      <c r="A33" s="23" t="s">
        <v>34</v>
      </c>
      <c r="B33" s="22"/>
    </row>
    <row r="34" spans="1:2" x14ac:dyDescent="0.2">
      <c r="A34" s="23" t="s">
        <v>35</v>
      </c>
      <c r="B34" s="22"/>
    </row>
  </sheetData>
  <mergeCells count="21">
    <mergeCell ref="A34:B34"/>
    <mergeCell ref="A33:B33"/>
    <mergeCell ref="A32:B32"/>
    <mergeCell ref="A23:B23"/>
    <mergeCell ref="A17:B17"/>
    <mergeCell ref="A22:B22"/>
    <mergeCell ref="A29:B29"/>
    <mergeCell ref="A19:B19"/>
    <mergeCell ref="A28:B28"/>
    <mergeCell ref="A31:B31"/>
    <mergeCell ref="A24:B24"/>
    <mergeCell ref="A30:B30"/>
    <mergeCell ref="A15:B15"/>
    <mergeCell ref="A1:B1"/>
    <mergeCell ref="A6:B6"/>
    <mergeCell ref="A16:B16"/>
    <mergeCell ref="A25:B25"/>
    <mergeCell ref="A18:B18"/>
    <mergeCell ref="A26:B26"/>
    <mergeCell ref="A21:B21"/>
    <mergeCell ref="A2:B2"/>
  </mergeCells>
  <dataValidations count="1">
    <dataValidation type="whole" showErrorMessage="1" errorTitle="Ano inválido" error="Digite um ano entre 2000 e 2100." sqref="B4" xr:uid="{00000000-0002-0000-0100-000000000000}">
      <formula1>2000</formula1>
      <formula2>2100</formula2>
    </dataValidation>
  </dataValidations>
  <hyperlinks>
    <hyperlink ref="A7" location="Contribuinte!A1" display="▶ 1 · Contribuinte" xr:uid="{00000000-0004-0000-0100-000000000000}"/>
    <hyperlink ref="A8" location="Dependentes!A1" display="▶ 2 · Dependentes" xr:uid="{00000000-0004-0000-0100-000001000000}"/>
    <hyperlink ref="A9" location="Rendimentos!A1" display="▶ 3 · Rendimentos" xr:uid="{00000000-0004-0000-0100-000002000000}"/>
    <hyperlink ref="A10" location="Pagamentos!A1" display="▶ 4 · Pagamentos" xr:uid="{00000000-0004-0000-0100-000003000000}"/>
    <hyperlink ref="A11" location="'Bens e Direitos'!A1" display="▶ 5 · Bens e Direitos" xr:uid="{00000000-0004-0000-0100-000004000000}"/>
    <hyperlink ref="A12" location="'Dívidas e Ônus'!A1" display="▶ 6 · Dívidas e Ônus" xr:uid="{00000000-0004-0000-0100-000005000000}"/>
    <hyperlink ref="A13" location="Resumo!A1" display="▶ 7 · Resumo" xr:uid="{00000000-0004-0000-0100-000006000000}"/>
    <hyperlink ref="A16" r:id="rId1" xr:uid="{00000000-0004-0000-0100-000007000000}"/>
    <hyperlink ref="A17" r:id="rId2" xr:uid="{00000000-0004-0000-0100-000008000000}"/>
    <hyperlink ref="A18" r:id="rId3" xr:uid="{00000000-0004-0000-0100-000009000000}"/>
    <hyperlink ref="A19" r:id="rId4" xr:uid="{00000000-0004-0000-0100-00000A000000}"/>
  </hyperlink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38" customWidth="1"/>
    <col min="2" max="2" width="46" customWidth="1"/>
    <col min="3" max="3" width="52" customWidth="1"/>
  </cols>
  <sheetData>
    <row r="1" spans="1:8" x14ac:dyDescent="0.2">
      <c r="A1" s="5" t="s">
        <v>92</v>
      </c>
    </row>
    <row r="2" spans="1:8" ht="26" customHeight="1" x14ac:dyDescent="0.2">
      <c r="A2" s="28" t="s">
        <v>93</v>
      </c>
      <c r="B2" s="22"/>
      <c r="C2" s="22"/>
      <c r="D2" s="22"/>
      <c r="E2" s="22"/>
      <c r="F2" s="22"/>
      <c r="G2" s="22"/>
      <c r="H2" s="22"/>
    </row>
    <row r="4" spans="1:8" x14ac:dyDescent="0.2">
      <c r="A4" s="6" t="s">
        <v>94</v>
      </c>
      <c r="B4" s="7"/>
      <c r="C4" s="8" t="s">
        <v>95</v>
      </c>
    </row>
    <row r="5" spans="1:8" x14ac:dyDescent="0.2">
      <c r="A5" s="6" t="s">
        <v>96</v>
      </c>
      <c r="B5" s="9"/>
      <c r="C5" s="8" t="s">
        <v>97</v>
      </c>
    </row>
    <row r="6" spans="1:8" x14ac:dyDescent="0.2">
      <c r="A6" s="6" t="s">
        <v>98</v>
      </c>
      <c r="B6" s="10"/>
      <c r="C6" s="8" t="s">
        <v>99</v>
      </c>
    </row>
    <row r="7" spans="1:8" x14ac:dyDescent="0.2">
      <c r="A7" s="6" t="s">
        <v>100</v>
      </c>
      <c r="B7" s="7"/>
      <c r="C7" s="8" t="s">
        <v>101</v>
      </c>
    </row>
    <row r="8" spans="1:8" x14ac:dyDescent="0.2">
      <c r="A8" s="6" t="s">
        <v>102</v>
      </c>
      <c r="B8" s="7"/>
      <c r="C8" s="8" t="s">
        <v>103</v>
      </c>
    </row>
    <row r="9" spans="1:8" x14ac:dyDescent="0.2">
      <c r="A9" s="6" t="s">
        <v>104</v>
      </c>
      <c r="B9" s="7"/>
      <c r="C9" s="8" t="s">
        <v>105</v>
      </c>
    </row>
    <row r="10" spans="1:8" x14ac:dyDescent="0.2">
      <c r="A10" s="6" t="s">
        <v>106</v>
      </c>
      <c r="B10" s="7"/>
      <c r="C10" s="8" t="s">
        <v>107</v>
      </c>
    </row>
    <row r="11" spans="1:8" x14ac:dyDescent="0.2">
      <c r="A11" s="6" t="s">
        <v>108</v>
      </c>
      <c r="B11" s="7"/>
      <c r="C11" s="8" t="s">
        <v>109</v>
      </c>
    </row>
    <row r="12" spans="1:8" x14ac:dyDescent="0.2">
      <c r="A12" s="6" t="s">
        <v>110</v>
      </c>
      <c r="B12" s="7"/>
      <c r="C12" s="8" t="s">
        <v>103</v>
      </c>
    </row>
    <row r="13" spans="1:8" x14ac:dyDescent="0.2">
      <c r="A13" s="6" t="s">
        <v>111</v>
      </c>
      <c r="B13" s="7"/>
      <c r="C13" s="8" t="s">
        <v>112</v>
      </c>
    </row>
    <row r="14" spans="1:8" x14ac:dyDescent="0.2">
      <c r="A14" s="6" t="s">
        <v>113</v>
      </c>
      <c r="B14" s="7"/>
      <c r="C14" s="8" t="s">
        <v>114</v>
      </c>
    </row>
    <row r="15" spans="1:8" x14ac:dyDescent="0.2">
      <c r="A15" s="6" t="s">
        <v>115</v>
      </c>
      <c r="B15" s="7"/>
      <c r="C15" s="8" t="s">
        <v>116</v>
      </c>
    </row>
    <row r="16" spans="1:8" x14ac:dyDescent="0.2">
      <c r="A16" s="6" t="s">
        <v>117</v>
      </c>
      <c r="B16" s="9"/>
      <c r="C16" s="8" t="s">
        <v>97</v>
      </c>
    </row>
    <row r="18" spans="1:1" x14ac:dyDescent="0.2">
      <c r="A18" s="11" t="s">
        <v>118</v>
      </c>
    </row>
  </sheetData>
  <mergeCells count="1">
    <mergeCell ref="A2:H2"/>
  </mergeCells>
  <conditionalFormatting sqref="B4:B6">
    <cfRule type="expression" dxfId="2" priority="1">
      <formula>LEN(TRIM(B4))=0</formula>
    </cfRule>
  </conditionalFormatting>
  <dataValidations count="3">
    <dataValidation type="custom" allowBlank="1" showInputMessage="1" showErrorMessage="1" errorTitle="CPF inválido" error="O CPF deve ter 11 dígitos (pode digitar com ou sem pontuação)." promptTitle="CPF" prompt="Digite os 11 números do CPF." sqref="B5 B16" xr:uid="{00000000-0002-0000-0200-000000000000}">
      <formula1>OR(LEN(B5)=0,LEN(SUBSTITUTE(SUBSTITUTE(SUBSTITUTE(SUBSTITUTE(B5,".",""),"-",""),"/","")," ",""))=11)</formula1>
    </dataValidation>
    <dataValidation type="date" allowBlank="1" showErrorMessage="1" errorTitle="Data inválida" error="Digite uma data válida (dd/mm/aaaa), entre 1900 e hoje." sqref="B6" xr:uid="{00000000-0002-0000-0200-000001000000}">
      <formula1>DATE(1900,1,1)</formula1>
      <formula2>TODAY()</formula2>
    </dataValidation>
    <dataValidation type="custom" allowBlank="1" showErrorMessage="1" errorTitle="E-mail inválido" error="Digite um e-mail válido (com @)." sqref="B10" xr:uid="{00000000-0002-0000-0200-000003000000}">
      <formula1>OR(LEN(B10)=0,ISNUMBER(SEARCH("@",B10)))</formula1>
    </dataValidation>
  </dataValidations>
  <hyperlinks>
    <hyperlink ref="A1" location="Menu!A1" display="◀ Voltar ao Menu" xr:uid="{00000000-0004-0000-0200-000000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a das opções da lista." xr:uid="{00000000-0002-0000-0200-000002000000}">
          <x14:formula1>
            <xm:f>Listas_aux!$A$2:$A$10</xm:f>
          </x14:formula1>
          <xm:sqref>B8</xm:sqref>
        </x14:dataValidation>
        <x14:dataValidation type="list" allowBlank="1" showErrorMessage="1" errorTitle="Valor inválido" error="Escolha uma das opções da lista." xr:uid="{00000000-0002-0000-0200-000004000000}">
          <x14:formula1>
            <xm:f>Listas_aux!$B$2:$B$10</xm:f>
          </x14:formula1>
          <xm:sqref>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3" width="18" customWidth="1"/>
    <col min="4" max="4" width="24" customWidth="1"/>
    <col min="5" max="5" width="40" customWidth="1"/>
  </cols>
  <sheetData>
    <row r="1" spans="1:8" x14ac:dyDescent="0.2">
      <c r="A1" s="5" t="s">
        <v>92</v>
      </c>
    </row>
    <row r="2" spans="1:8" ht="26" customHeight="1" x14ac:dyDescent="0.2">
      <c r="A2" s="28" t="s">
        <v>119</v>
      </c>
      <c r="B2" s="22"/>
      <c r="C2" s="22"/>
      <c r="D2" s="22"/>
      <c r="E2" s="22"/>
      <c r="F2" s="22"/>
      <c r="G2" s="22"/>
      <c r="H2" s="22"/>
    </row>
    <row r="3" spans="1:8" x14ac:dyDescent="0.2">
      <c r="A3" s="29" t="s">
        <v>120</v>
      </c>
      <c r="B3" s="22"/>
      <c r="C3" s="22"/>
      <c r="D3" s="22"/>
      <c r="E3" s="22"/>
      <c r="F3" s="22"/>
      <c r="G3" s="22"/>
      <c r="H3" s="22"/>
    </row>
    <row r="4" spans="1:8" ht="30" customHeight="1" x14ac:dyDescent="0.2">
      <c r="A4" s="12" t="s">
        <v>94</v>
      </c>
      <c r="B4" s="12" t="s">
        <v>96</v>
      </c>
      <c r="C4" s="12" t="s">
        <v>98</v>
      </c>
      <c r="D4" s="12" t="s">
        <v>121</v>
      </c>
      <c r="E4" s="12" t="s">
        <v>122</v>
      </c>
    </row>
    <row r="5" spans="1:8" x14ac:dyDescent="0.2">
      <c r="A5" s="7"/>
      <c r="B5" s="9"/>
      <c r="C5" s="10"/>
      <c r="D5" s="7"/>
      <c r="E5" s="7"/>
    </row>
    <row r="6" spans="1:8" x14ac:dyDescent="0.2">
      <c r="A6" s="7"/>
      <c r="B6" s="9"/>
      <c r="C6" s="10"/>
      <c r="D6" s="7"/>
      <c r="E6" s="7"/>
    </row>
    <row r="7" spans="1:8" x14ac:dyDescent="0.2">
      <c r="A7" s="7"/>
      <c r="B7" s="9"/>
      <c r="C7" s="10"/>
      <c r="D7" s="7"/>
      <c r="E7" s="7"/>
    </row>
    <row r="8" spans="1:8" x14ac:dyDescent="0.2">
      <c r="A8" s="7"/>
      <c r="B8" s="9"/>
      <c r="C8" s="10"/>
      <c r="D8" s="7"/>
      <c r="E8" s="7"/>
    </row>
    <row r="9" spans="1:8" x14ac:dyDescent="0.2">
      <c r="A9" s="7"/>
      <c r="B9" s="9"/>
      <c r="C9" s="10"/>
      <c r="D9" s="7"/>
      <c r="E9" s="7"/>
    </row>
    <row r="10" spans="1:8" x14ac:dyDescent="0.2">
      <c r="A10" s="7"/>
      <c r="B10" s="9"/>
      <c r="C10" s="10"/>
      <c r="D10" s="7"/>
      <c r="E10" s="7"/>
    </row>
    <row r="11" spans="1:8" x14ac:dyDescent="0.2">
      <c r="A11" s="7"/>
      <c r="B11" s="9"/>
      <c r="C11" s="10"/>
      <c r="D11" s="7"/>
      <c r="E11" s="7"/>
    </row>
    <row r="12" spans="1:8" x14ac:dyDescent="0.2">
      <c r="A12" s="7"/>
      <c r="B12" s="9"/>
      <c r="C12" s="10"/>
      <c r="D12" s="7"/>
      <c r="E12" s="7"/>
    </row>
    <row r="13" spans="1:8" x14ac:dyDescent="0.2">
      <c r="A13" s="7"/>
      <c r="B13" s="9"/>
      <c r="C13" s="10"/>
      <c r="D13" s="7"/>
      <c r="E13" s="7"/>
    </row>
    <row r="14" spans="1:8" x14ac:dyDescent="0.2">
      <c r="A14" s="7"/>
      <c r="B14" s="9"/>
      <c r="C14" s="10"/>
      <c r="D14" s="7"/>
      <c r="E14" s="7"/>
    </row>
    <row r="15" spans="1:8" x14ac:dyDescent="0.2">
      <c r="A15" s="7"/>
      <c r="B15" s="9"/>
      <c r="C15" s="10"/>
      <c r="D15" s="7"/>
      <c r="E15" s="7"/>
    </row>
    <row r="16" spans="1:8" x14ac:dyDescent="0.2">
      <c r="A16" s="7"/>
      <c r="B16" s="9"/>
      <c r="C16" s="10"/>
      <c r="D16" s="7"/>
      <c r="E16" s="7"/>
    </row>
    <row r="17" spans="1:5" x14ac:dyDescent="0.2">
      <c r="A17" s="7"/>
      <c r="B17" s="9"/>
      <c r="C17" s="10"/>
      <c r="D17" s="7"/>
      <c r="E17" s="7"/>
    </row>
    <row r="18" spans="1:5" x14ac:dyDescent="0.2">
      <c r="A18" s="7"/>
      <c r="B18" s="9"/>
      <c r="C18" s="10"/>
      <c r="D18" s="7"/>
      <c r="E18" s="7"/>
    </row>
    <row r="19" spans="1:5" x14ac:dyDescent="0.2">
      <c r="A19" s="7"/>
      <c r="B19" s="9"/>
      <c r="C19" s="10"/>
      <c r="D19" s="7"/>
      <c r="E19" s="7"/>
    </row>
    <row r="20" spans="1:5" x14ac:dyDescent="0.2">
      <c r="A20" s="7"/>
      <c r="B20" s="9"/>
      <c r="C20" s="10"/>
      <c r="D20" s="7"/>
      <c r="E20" s="7"/>
    </row>
    <row r="21" spans="1:5" x14ac:dyDescent="0.2">
      <c r="A21" s="7"/>
      <c r="B21" s="9"/>
      <c r="C21" s="10"/>
      <c r="D21" s="7"/>
      <c r="E21" s="7"/>
    </row>
    <row r="22" spans="1:5" x14ac:dyDescent="0.2">
      <c r="A22" s="7"/>
      <c r="B22" s="9"/>
      <c r="C22" s="10"/>
      <c r="D22" s="7"/>
      <c r="E22" s="7"/>
    </row>
    <row r="23" spans="1:5" x14ac:dyDescent="0.2">
      <c r="A23" s="7"/>
      <c r="B23" s="9"/>
      <c r="C23" s="10"/>
      <c r="D23" s="7"/>
      <c r="E23" s="7"/>
    </row>
    <row r="24" spans="1:5" x14ac:dyDescent="0.2">
      <c r="A24" s="7"/>
      <c r="B24" s="9"/>
      <c r="C24" s="10"/>
      <c r="D24" s="7"/>
      <c r="E24" s="7"/>
    </row>
    <row r="25" spans="1:5" x14ac:dyDescent="0.2">
      <c r="A25" s="7"/>
      <c r="B25" s="9"/>
      <c r="C25" s="10"/>
      <c r="D25" s="7"/>
      <c r="E25" s="7"/>
    </row>
    <row r="26" spans="1:5" x14ac:dyDescent="0.2">
      <c r="A26" s="7"/>
      <c r="B26" s="9"/>
      <c r="C26" s="10"/>
      <c r="D26" s="7"/>
      <c r="E26" s="7"/>
    </row>
    <row r="27" spans="1:5" x14ac:dyDescent="0.2">
      <c r="A27" s="7"/>
      <c r="B27" s="9"/>
      <c r="C27" s="10"/>
      <c r="D27" s="7"/>
      <c r="E27" s="7"/>
    </row>
    <row r="28" spans="1:5" x14ac:dyDescent="0.2">
      <c r="A28" s="7"/>
      <c r="B28" s="9"/>
      <c r="C28" s="10"/>
      <c r="D28" s="7"/>
      <c r="E28" s="7"/>
    </row>
    <row r="29" spans="1:5" x14ac:dyDescent="0.2">
      <c r="A29" s="7"/>
      <c r="B29" s="9"/>
      <c r="C29" s="10"/>
      <c r="D29" s="7"/>
      <c r="E29" s="7"/>
    </row>
    <row r="30" spans="1:5" x14ac:dyDescent="0.2">
      <c r="A30" s="7"/>
      <c r="B30" s="9"/>
      <c r="C30" s="10"/>
      <c r="D30" s="7"/>
      <c r="E30" s="7"/>
    </row>
    <row r="31" spans="1:5" x14ac:dyDescent="0.2">
      <c r="A31" s="7"/>
      <c r="B31" s="9"/>
      <c r="C31" s="10"/>
      <c r="D31" s="7"/>
      <c r="E31" s="7"/>
    </row>
    <row r="32" spans="1:5" x14ac:dyDescent="0.2">
      <c r="A32" s="7"/>
      <c r="B32" s="9"/>
      <c r="C32" s="10"/>
      <c r="D32" s="7"/>
      <c r="E32" s="7"/>
    </row>
    <row r="33" spans="1:5" x14ac:dyDescent="0.2">
      <c r="A33" s="7"/>
      <c r="B33" s="9"/>
      <c r="C33" s="10"/>
      <c r="D33" s="7"/>
      <c r="E33" s="7"/>
    </row>
    <row r="34" spans="1:5" x14ac:dyDescent="0.2">
      <c r="A34" s="7"/>
      <c r="B34" s="9"/>
      <c r="C34" s="10"/>
      <c r="D34" s="7"/>
      <c r="E34" s="7"/>
    </row>
    <row r="36" spans="1:5" x14ac:dyDescent="0.2">
      <c r="A36" s="1" t="s">
        <v>123</v>
      </c>
      <c r="B36" s="13">
        <f>COUNTA(A5:A34)</f>
        <v>0</v>
      </c>
    </row>
  </sheetData>
  <autoFilter ref="A4:E4" xr:uid="{00000000-0009-0000-0000-000003000000}"/>
  <mergeCells count="2">
    <mergeCell ref="A3:H3"/>
    <mergeCell ref="A2:H2"/>
  </mergeCells>
  <conditionalFormatting sqref="B5:B34">
    <cfRule type="expression" dxfId="1" priority="1">
      <formula>AND($A5&lt;&gt;"",$B5="")</formula>
    </cfRule>
  </conditionalFormatting>
  <dataValidations count="2">
    <dataValidation type="custom" allowBlank="1" showInputMessage="1" showErrorMessage="1" errorTitle="CPF inválido" error="O CPF deve ter 11 dígitos (pode digitar com ou sem pontuação)." promptTitle="CPF" prompt="Digite os 11 números do CPF." sqref="B5:B34" xr:uid="{00000000-0002-0000-0300-000000000000}">
      <formula1>OR(LEN(B5)=0,LEN(SUBSTITUTE(SUBSTITUTE(SUBSTITUTE(SUBSTITUTE(B5,".",""),"-",""),"/","")," ",""))=11)</formula1>
    </dataValidation>
    <dataValidation type="date" allowBlank="1" showErrorMessage="1" errorTitle="Data inválida" error="Digite uma data válida (dd/mm/aaaa), entre 1900 e hoje." sqref="C5:C34" xr:uid="{00000000-0002-0000-0300-000001000000}">
      <formula1>DATE(1900,1,1)</formula1>
      <formula2>TODAY()</formula2>
    </dataValidation>
  </dataValidations>
  <hyperlinks>
    <hyperlink ref="A1" location="Menu!A1" display="◀ Voltar ao Menu" xr:uid="{00000000-0004-0000-0300-000000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a das opções da lista." xr:uid="{00000000-0002-0000-0300-000002000000}">
          <x14:formula1>
            <xm:f>Listas_aux!$C$2:$C$10</xm:f>
          </x14:formula1>
          <xm:sqref>D5:D34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6" customWidth="1"/>
    <col min="3" max="4" width="20" customWidth="1"/>
    <col min="5" max="5" width="22" customWidth="1"/>
    <col min="6" max="6" width="17" customWidth="1"/>
    <col min="7" max="7" width="34" customWidth="1"/>
  </cols>
  <sheetData>
    <row r="1" spans="1:8" x14ac:dyDescent="0.2">
      <c r="A1" s="5" t="s">
        <v>92</v>
      </c>
    </row>
    <row r="2" spans="1:8" ht="26" customHeight="1" x14ac:dyDescent="0.2">
      <c r="A2" s="28" t="s">
        <v>124</v>
      </c>
      <c r="B2" s="22"/>
      <c r="C2" s="22"/>
      <c r="D2" s="22"/>
      <c r="E2" s="22"/>
      <c r="F2" s="22"/>
      <c r="G2" s="22"/>
      <c r="H2" s="22"/>
    </row>
    <row r="3" spans="1:8" x14ac:dyDescent="0.2">
      <c r="A3" s="29" t="s">
        <v>125</v>
      </c>
      <c r="B3" s="22"/>
      <c r="C3" s="22"/>
      <c r="D3" s="22"/>
      <c r="E3" s="22"/>
      <c r="F3" s="22"/>
      <c r="G3" s="22"/>
      <c r="H3" s="22"/>
    </row>
    <row r="4" spans="1:8" ht="30" customHeight="1" x14ac:dyDescent="0.2">
      <c r="A4" s="12" t="s">
        <v>126</v>
      </c>
      <c r="B4" s="12" t="s">
        <v>127</v>
      </c>
      <c r="C4" s="12" t="s">
        <v>128</v>
      </c>
      <c r="D4" s="12" t="s">
        <v>129</v>
      </c>
      <c r="E4" s="12" t="s">
        <v>130</v>
      </c>
      <c r="F4" s="12" t="s">
        <v>131</v>
      </c>
      <c r="G4" s="12" t="s">
        <v>122</v>
      </c>
    </row>
    <row r="5" spans="1:8" x14ac:dyDescent="0.2">
      <c r="A5" s="7"/>
      <c r="B5" s="7"/>
      <c r="C5" s="9"/>
      <c r="D5" s="14"/>
      <c r="E5" s="14"/>
      <c r="F5" s="14"/>
      <c r="G5" s="7"/>
    </row>
    <row r="6" spans="1:8" x14ac:dyDescent="0.2">
      <c r="A6" s="7"/>
      <c r="B6" s="7"/>
      <c r="C6" s="9"/>
      <c r="D6" s="14"/>
      <c r="E6" s="14"/>
      <c r="F6" s="14"/>
      <c r="G6" s="7"/>
    </row>
    <row r="7" spans="1:8" x14ac:dyDescent="0.2">
      <c r="A7" s="7"/>
      <c r="B7" s="7"/>
      <c r="C7" s="9"/>
      <c r="D7" s="14"/>
      <c r="E7" s="14"/>
      <c r="F7" s="14"/>
      <c r="G7" s="7"/>
    </row>
    <row r="8" spans="1:8" x14ac:dyDescent="0.2">
      <c r="A8" s="7"/>
      <c r="B8" s="7"/>
      <c r="C8" s="9"/>
      <c r="D8" s="14"/>
      <c r="E8" s="14"/>
      <c r="F8" s="14"/>
      <c r="G8" s="7"/>
    </row>
    <row r="9" spans="1:8" x14ac:dyDescent="0.2">
      <c r="A9" s="7"/>
      <c r="B9" s="7"/>
      <c r="C9" s="9"/>
      <c r="D9" s="14"/>
      <c r="E9" s="14"/>
      <c r="F9" s="14"/>
      <c r="G9" s="7"/>
    </row>
    <row r="10" spans="1:8" x14ac:dyDescent="0.2">
      <c r="A10" s="7"/>
      <c r="B10" s="7"/>
      <c r="C10" s="9"/>
      <c r="D10" s="14"/>
      <c r="E10" s="14"/>
      <c r="F10" s="14"/>
      <c r="G10" s="7"/>
    </row>
    <row r="11" spans="1:8" x14ac:dyDescent="0.2">
      <c r="A11" s="7"/>
      <c r="B11" s="7"/>
      <c r="C11" s="9"/>
      <c r="D11" s="14"/>
      <c r="E11" s="14"/>
      <c r="F11" s="14"/>
      <c r="G11" s="7"/>
    </row>
    <row r="12" spans="1:8" x14ac:dyDescent="0.2">
      <c r="A12" s="7"/>
      <c r="B12" s="7"/>
      <c r="C12" s="9"/>
      <c r="D12" s="14"/>
      <c r="E12" s="14"/>
      <c r="F12" s="14"/>
      <c r="G12" s="7"/>
    </row>
    <row r="13" spans="1:8" x14ac:dyDescent="0.2">
      <c r="A13" s="7"/>
      <c r="B13" s="7"/>
      <c r="C13" s="9"/>
      <c r="D13" s="14"/>
      <c r="E13" s="14"/>
      <c r="F13" s="14"/>
      <c r="G13" s="7"/>
    </row>
    <row r="14" spans="1:8" x14ac:dyDescent="0.2">
      <c r="A14" s="7"/>
      <c r="B14" s="7"/>
      <c r="C14" s="9"/>
      <c r="D14" s="14"/>
      <c r="E14" s="14"/>
      <c r="F14" s="14"/>
      <c r="G14" s="7"/>
    </row>
    <row r="15" spans="1:8" x14ac:dyDescent="0.2">
      <c r="A15" s="7"/>
      <c r="B15" s="7"/>
      <c r="C15" s="9"/>
      <c r="D15" s="14"/>
      <c r="E15" s="14"/>
      <c r="F15" s="14"/>
      <c r="G15" s="7"/>
    </row>
    <row r="16" spans="1:8" x14ac:dyDescent="0.2">
      <c r="A16" s="7"/>
      <c r="B16" s="7"/>
      <c r="C16" s="9"/>
      <c r="D16" s="14"/>
      <c r="E16" s="14"/>
      <c r="F16" s="14"/>
      <c r="G16" s="7"/>
    </row>
    <row r="17" spans="1:7" x14ac:dyDescent="0.2">
      <c r="A17" s="7"/>
      <c r="B17" s="7"/>
      <c r="C17" s="9"/>
      <c r="D17" s="14"/>
      <c r="E17" s="14"/>
      <c r="F17" s="14"/>
      <c r="G17" s="7"/>
    </row>
    <row r="18" spans="1:7" x14ac:dyDescent="0.2">
      <c r="A18" s="7"/>
      <c r="B18" s="7"/>
      <c r="C18" s="9"/>
      <c r="D18" s="14"/>
      <c r="E18" s="14"/>
      <c r="F18" s="14"/>
      <c r="G18" s="7"/>
    </row>
    <row r="19" spans="1:7" x14ac:dyDescent="0.2">
      <c r="A19" s="7"/>
      <c r="B19" s="7"/>
      <c r="C19" s="9"/>
      <c r="D19" s="14"/>
      <c r="E19" s="14"/>
      <c r="F19" s="14"/>
      <c r="G19" s="7"/>
    </row>
    <row r="20" spans="1:7" x14ac:dyDescent="0.2">
      <c r="A20" s="7"/>
      <c r="B20" s="7"/>
      <c r="C20" s="9"/>
      <c r="D20" s="14"/>
      <c r="E20" s="14"/>
      <c r="F20" s="14"/>
      <c r="G20" s="7"/>
    </row>
    <row r="21" spans="1:7" x14ac:dyDescent="0.2">
      <c r="A21" s="7"/>
      <c r="B21" s="7"/>
      <c r="C21" s="9"/>
      <c r="D21" s="14"/>
      <c r="E21" s="14"/>
      <c r="F21" s="14"/>
      <c r="G21" s="7"/>
    </row>
    <row r="22" spans="1:7" x14ac:dyDescent="0.2">
      <c r="A22" s="7"/>
      <c r="B22" s="7"/>
      <c r="C22" s="9"/>
      <c r="D22" s="14"/>
      <c r="E22" s="14"/>
      <c r="F22" s="14"/>
      <c r="G22" s="7"/>
    </row>
    <row r="23" spans="1:7" x14ac:dyDescent="0.2">
      <c r="A23" s="7"/>
      <c r="B23" s="7"/>
      <c r="C23" s="9"/>
      <c r="D23" s="14"/>
      <c r="E23" s="14"/>
      <c r="F23" s="14"/>
      <c r="G23" s="7"/>
    </row>
    <row r="24" spans="1:7" x14ac:dyDescent="0.2">
      <c r="A24" s="7"/>
      <c r="B24" s="7"/>
      <c r="C24" s="9"/>
      <c r="D24" s="14"/>
      <c r="E24" s="14"/>
      <c r="F24" s="14"/>
      <c r="G24" s="7"/>
    </row>
    <row r="25" spans="1:7" x14ac:dyDescent="0.2">
      <c r="A25" s="7"/>
      <c r="B25" s="7"/>
      <c r="C25" s="9"/>
      <c r="D25" s="14"/>
      <c r="E25" s="14"/>
      <c r="F25" s="14"/>
      <c r="G25" s="7"/>
    </row>
    <row r="26" spans="1:7" x14ac:dyDescent="0.2">
      <c r="A26" s="7"/>
      <c r="B26" s="7"/>
      <c r="C26" s="9"/>
      <c r="D26" s="14"/>
      <c r="E26" s="14"/>
      <c r="F26" s="14"/>
      <c r="G26" s="7"/>
    </row>
    <row r="27" spans="1:7" x14ac:dyDescent="0.2">
      <c r="A27" s="7"/>
      <c r="B27" s="7"/>
      <c r="C27" s="9"/>
      <c r="D27" s="14"/>
      <c r="E27" s="14"/>
      <c r="F27" s="14"/>
      <c r="G27" s="7"/>
    </row>
    <row r="28" spans="1:7" x14ac:dyDescent="0.2">
      <c r="A28" s="7"/>
      <c r="B28" s="7"/>
      <c r="C28" s="9"/>
      <c r="D28" s="14"/>
      <c r="E28" s="14"/>
      <c r="F28" s="14"/>
      <c r="G28" s="7"/>
    </row>
    <row r="29" spans="1:7" x14ac:dyDescent="0.2">
      <c r="A29" s="7"/>
      <c r="B29" s="7"/>
      <c r="C29" s="9"/>
      <c r="D29" s="14"/>
      <c r="E29" s="14"/>
      <c r="F29" s="14"/>
      <c r="G29" s="7"/>
    </row>
    <row r="30" spans="1:7" x14ac:dyDescent="0.2">
      <c r="A30" s="7"/>
      <c r="B30" s="7"/>
      <c r="C30" s="9"/>
      <c r="D30" s="14"/>
      <c r="E30" s="14"/>
      <c r="F30" s="14"/>
      <c r="G30" s="7"/>
    </row>
    <row r="31" spans="1:7" x14ac:dyDescent="0.2">
      <c r="A31" s="7"/>
      <c r="B31" s="7"/>
      <c r="C31" s="9"/>
      <c r="D31" s="14"/>
      <c r="E31" s="14"/>
      <c r="F31" s="14"/>
      <c r="G31" s="7"/>
    </row>
    <row r="32" spans="1:7" x14ac:dyDescent="0.2">
      <c r="A32" s="7"/>
      <c r="B32" s="7"/>
      <c r="C32" s="9"/>
      <c r="D32" s="14"/>
      <c r="E32" s="14"/>
      <c r="F32" s="14"/>
      <c r="G32" s="7"/>
    </row>
    <row r="33" spans="1:7" x14ac:dyDescent="0.2">
      <c r="A33" s="7"/>
      <c r="B33" s="7"/>
      <c r="C33" s="9"/>
      <c r="D33" s="14"/>
      <c r="E33" s="14"/>
      <c r="F33" s="14"/>
      <c r="G33" s="7"/>
    </row>
    <row r="34" spans="1:7" x14ac:dyDescent="0.2">
      <c r="A34" s="7"/>
      <c r="B34" s="7"/>
      <c r="C34" s="9"/>
      <c r="D34" s="14"/>
      <c r="E34" s="14"/>
      <c r="F34" s="14"/>
      <c r="G34" s="7"/>
    </row>
    <row r="35" spans="1:7" x14ac:dyDescent="0.2">
      <c r="A35" s="7"/>
      <c r="B35" s="7"/>
      <c r="C35" s="9"/>
      <c r="D35" s="14"/>
      <c r="E35" s="14"/>
      <c r="F35" s="14"/>
      <c r="G35" s="7"/>
    </row>
    <row r="36" spans="1:7" x14ac:dyDescent="0.2">
      <c r="A36" s="7"/>
      <c r="B36" s="7"/>
      <c r="C36" s="9"/>
      <c r="D36" s="14"/>
      <c r="E36" s="14"/>
      <c r="F36" s="14"/>
      <c r="G36" s="7"/>
    </row>
    <row r="37" spans="1:7" x14ac:dyDescent="0.2">
      <c r="A37" s="7"/>
      <c r="B37" s="7"/>
      <c r="C37" s="9"/>
      <c r="D37" s="14"/>
      <c r="E37" s="14"/>
      <c r="F37" s="14"/>
      <c r="G37" s="7"/>
    </row>
    <row r="38" spans="1:7" x14ac:dyDescent="0.2">
      <c r="A38" s="7"/>
      <c r="B38" s="7"/>
      <c r="C38" s="9"/>
      <c r="D38" s="14"/>
      <c r="E38" s="14"/>
      <c r="F38" s="14"/>
      <c r="G38" s="7"/>
    </row>
    <row r="39" spans="1:7" x14ac:dyDescent="0.2">
      <c r="A39" s="7"/>
      <c r="B39" s="7"/>
      <c r="C39" s="9"/>
      <c r="D39" s="14"/>
      <c r="E39" s="14"/>
      <c r="F39" s="14"/>
      <c r="G39" s="7"/>
    </row>
    <row r="40" spans="1:7" x14ac:dyDescent="0.2">
      <c r="A40" s="7"/>
      <c r="B40" s="7"/>
      <c r="C40" s="9"/>
      <c r="D40" s="14"/>
      <c r="E40" s="14"/>
      <c r="F40" s="14"/>
      <c r="G40" s="7"/>
    </row>
    <row r="41" spans="1:7" x14ac:dyDescent="0.2">
      <c r="A41" s="7"/>
      <c r="B41" s="7"/>
      <c r="C41" s="9"/>
      <c r="D41" s="14"/>
      <c r="E41" s="14"/>
      <c r="F41" s="14"/>
      <c r="G41" s="7"/>
    </row>
    <row r="42" spans="1:7" x14ac:dyDescent="0.2">
      <c r="A42" s="7"/>
      <c r="B42" s="7"/>
      <c r="C42" s="9"/>
      <c r="D42" s="14"/>
      <c r="E42" s="14"/>
      <c r="F42" s="14"/>
      <c r="G42" s="7"/>
    </row>
    <row r="43" spans="1:7" x14ac:dyDescent="0.2">
      <c r="A43" s="7"/>
      <c r="B43" s="7"/>
      <c r="C43" s="9"/>
      <c r="D43" s="14"/>
      <c r="E43" s="14"/>
      <c r="F43" s="14"/>
      <c r="G43" s="7"/>
    </row>
    <row r="44" spans="1:7" x14ac:dyDescent="0.2">
      <c r="A44" s="7"/>
      <c r="B44" s="7"/>
      <c r="C44" s="9"/>
      <c r="D44" s="14"/>
      <c r="E44" s="14"/>
      <c r="F44" s="14"/>
      <c r="G44" s="7"/>
    </row>
    <row r="45" spans="1:7" x14ac:dyDescent="0.2">
      <c r="A45" s="7"/>
      <c r="B45" s="7"/>
      <c r="C45" s="9"/>
      <c r="D45" s="14"/>
      <c r="E45" s="14"/>
      <c r="F45" s="14"/>
      <c r="G45" s="7"/>
    </row>
    <row r="46" spans="1:7" x14ac:dyDescent="0.2">
      <c r="A46" s="7"/>
      <c r="B46" s="7"/>
      <c r="C46" s="9"/>
      <c r="D46" s="14"/>
      <c r="E46" s="14"/>
      <c r="F46" s="14"/>
      <c r="G46" s="7"/>
    </row>
    <row r="47" spans="1:7" x14ac:dyDescent="0.2">
      <c r="A47" s="7"/>
      <c r="B47" s="7"/>
      <c r="C47" s="9"/>
      <c r="D47" s="14"/>
      <c r="E47" s="14"/>
      <c r="F47" s="14"/>
      <c r="G47" s="7"/>
    </row>
    <row r="48" spans="1:7" x14ac:dyDescent="0.2">
      <c r="A48" s="7"/>
      <c r="B48" s="7"/>
      <c r="C48" s="9"/>
      <c r="D48" s="14"/>
      <c r="E48" s="14"/>
      <c r="F48" s="14"/>
      <c r="G48" s="7"/>
    </row>
    <row r="49" spans="1:7" x14ac:dyDescent="0.2">
      <c r="A49" s="7"/>
      <c r="B49" s="7"/>
      <c r="C49" s="9"/>
      <c r="D49" s="14"/>
      <c r="E49" s="14"/>
      <c r="F49" s="14"/>
      <c r="G49" s="7"/>
    </row>
    <row r="50" spans="1:7" x14ac:dyDescent="0.2">
      <c r="A50" s="7"/>
      <c r="B50" s="7"/>
      <c r="C50" s="9"/>
      <c r="D50" s="14"/>
      <c r="E50" s="14"/>
      <c r="F50" s="14"/>
      <c r="G50" s="7"/>
    </row>
    <row r="51" spans="1:7" x14ac:dyDescent="0.2">
      <c r="A51" s="7"/>
      <c r="B51" s="7"/>
      <c r="C51" s="9"/>
      <c r="D51" s="14"/>
      <c r="E51" s="14"/>
      <c r="F51" s="14"/>
      <c r="G51" s="7"/>
    </row>
    <row r="52" spans="1:7" x14ac:dyDescent="0.2">
      <c r="A52" s="7"/>
      <c r="B52" s="7"/>
      <c r="C52" s="9"/>
      <c r="D52" s="14"/>
      <c r="E52" s="14"/>
      <c r="F52" s="14"/>
      <c r="G52" s="7"/>
    </row>
    <row r="53" spans="1:7" x14ac:dyDescent="0.2">
      <c r="A53" s="7"/>
      <c r="B53" s="7"/>
      <c r="C53" s="9"/>
      <c r="D53" s="14"/>
      <c r="E53" s="14"/>
      <c r="F53" s="14"/>
      <c r="G53" s="7"/>
    </row>
    <row r="54" spans="1:7" x14ac:dyDescent="0.2">
      <c r="A54" s="7"/>
      <c r="B54" s="7"/>
      <c r="C54" s="9"/>
      <c r="D54" s="14"/>
      <c r="E54" s="14"/>
      <c r="F54" s="14"/>
      <c r="G54" s="7"/>
    </row>
    <row r="55" spans="1:7" x14ac:dyDescent="0.2">
      <c r="A55" s="13" t="s">
        <v>132</v>
      </c>
      <c r="B55" s="15"/>
      <c r="C55" s="15"/>
      <c r="D55" s="16">
        <f>SUM(D5:D54)</f>
        <v>0</v>
      </c>
      <c r="E55" s="16">
        <f>SUM(E5:E54)</f>
        <v>0</v>
      </c>
      <c r="F55" s="16">
        <f>SUM(F5:F54)</f>
        <v>0</v>
      </c>
    </row>
  </sheetData>
  <autoFilter ref="A4:G4" xr:uid="{00000000-0009-0000-0000-000004000000}"/>
  <mergeCells count="2">
    <mergeCell ref="A3:H3"/>
    <mergeCell ref="A2:H2"/>
  </mergeCells>
  <conditionalFormatting sqref="B5:B54">
    <cfRule type="expression" dxfId="0" priority="1">
      <formula>AND($A5&lt;&gt;"",$B5="")</formula>
    </cfRule>
  </conditionalFormatting>
  <dataValidations count="2">
    <dataValidation type="custom" allowBlank="1" showInputMessage="1" showErrorMessage="1" errorTitle="Documento inválido" error="Digite um CPF (11 dígitos) ou CNPJ (14 dígitos)." promptTitle="CPF/CNPJ" prompt="CPF: 11 dígitos. CNPJ: 14 dígitos." sqref="C5:C54" xr:uid="{00000000-0002-0000-0400-000001000000}">
      <formula1>OR(LEN(C5)=0,LEN(SUBSTITUTE(SUBSTITUTE(SUBSTITUTE(SUBSTITUTE(C5,".",""),"-",""),"/","")," ",""))=11,LEN(SUBSTITUTE(SUBSTITUTE(SUBSTITUTE(SUBSTITUTE(C5,".",""),"-",""),"/","")," ",""))=14)</formula1>
    </dataValidation>
    <dataValidation type="decimal" operator="greaterThanOrEqual" allowBlank="1" showErrorMessage="1" errorTitle="Valor inválido" error="Digite um valor maior ou igual a zero." sqref="D5:F54" xr:uid="{00000000-0002-0000-0400-000002000000}">
      <formula1>0</formula1>
    </dataValidation>
  </dataValidations>
  <hyperlinks>
    <hyperlink ref="A1" location="Menu!A1" display="◀ Voltar ao Menu" xr:uid="{00000000-0004-0000-0400-000000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a das opções da lista." xr:uid="{00000000-0002-0000-0400-000000000000}">
          <x14:formula1>
            <xm:f>Listas_aux!$D$2:$D$4</xm:f>
          </x14:formula1>
          <xm:sqref>A5:A54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6" customWidth="1"/>
    <col min="3" max="3" width="20" customWidth="1"/>
    <col min="4" max="4" width="18" customWidth="1"/>
    <col min="5" max="5" width="20" customWidth="1"/>
    <col min="6" max="6" width="24" customWidth="1"/>
    <col min="7" max="7" width="32" customWidth="1"/>
  </cols>
  <sheetData>
    <row r="1" spans="1:8" x14ac:dyDescent="0.2">
      <c r="A1" s="5" t="s">
        <v>92</v>
      </c>
    </row>
    <row r="2" spans="1:8" ht="26" customHeight="1" x14ac:dyDescent="0.2">
      <c r="A2" s="28" t="s">
        <v>133</v>
      </c>
      <c r="B2" s="22"/>
      <c r="C2" s="22"/>
      <c r="D2" s="22"/>
      <c r="E2" s="22"/>
      <c r="F2" s="22"/>
      <c r="G2" s="22"/>
      <c r="H2" s="22"/>
    </row>
    <row r="3" spans="1:8" x14ac:dyDescent="0.2">
      <c r="A3" s="29" t="s">
        <v>134</v>
      </c>
      <c r="B3" s="22"/>
      <c r="C3" s="22"/>
      <c r="D3" s="22"/>
      <c r="E3" s="22"/>
      <c r="F3" s="22"/>
      <c r="G3" s="22"/>
      <c r="H3" s="22"/>
    </row>
    <row r="4" spans="1:8" ht="30" customHeight="1" x14ac:dyDescent="0.2">
      <c r="A4" s="12" t="s">
        <v>135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  <c r="G4" s="12" t="s">
        <v>122</v>
      </c>
    </row>
    <row r="5" spans="1:8" x14ac:dyDescent="0.2">
      <c r="A5" s="7"/>
      <c r="B5" s="7"/>
      <c r="C5" s="9"/>
      <c r="D5" s="14"/>
      <c r="E5" s="14"/>
      <c r="F5" s="17">
        <f t="shared" ref="F5:F36" si="0">MAX(D5-E5,0)</f>
        <v>0</v>
      </c>
      <c r="G5" s="7"/>
    </row>
    <row r="6" spans="1:8" x14ac:dyDescent="0.2">
      <c r="A6" s="7"/>
      <c r="B6" s="7"/>
      <c r="C6" s="9"/>
      <c r="D6" s="14"/>
      <c r="E6" s="14"/>
      <c r="F6" s="17">
        <f t="shared" si="0"/>
        <v>0</v>
      </c>
      <c r="G6" s="7"/>
    </row>
    <row r="7" spans="1:8" x14ac:dyDescent="0.2">
      <c r="A7" s="7"/>
      <c r="B7" s="7"/>
      <c r="C7" s="9"/>
      <c r="D7" s="14"/>
      <c r="E7" s="14"/>
      <c r="F7" s="17">
        <f t="shared" si="0"/>
        <v>0</v>
      </c>
      <c r="G7" s="7"/>
    </row>
    <row r="8" spans="1:8" x14ac:dyDescent="0.2">
      <c r="A8" s="7"/>
      <c r="B8" s="7"/>
      <c r="C8" s="9"/>
      <c r="D8" s="14"/>
      <c r="E8" s="14"/>
      <c r="F8" s="17">
        <f t="shared" si="0"/>
        <v>0</v>
      </c>
      <c r="G8" s="7"/>
    </row>
    <row r="9" spans="1:8" x14ac:dyDescent="0.2">
      <c r="A9" s="7"/>
      <c r="B9" s="7"/>
      <c r="C9" s="9"/>
      <c r="D9" s="14"/>
      <c r="E9" s="14"/>
      <c r="F9" s="17">
        <f t="shared" si="0"/>
        <v>0</v>
      </c>
      <c r="G9" s="7"/>
    </row>
    <row r="10" spans="1:8" x14ac:dyDescent="0.2">
      <c r="A10" s="7"/>
      <c r="B10" s="7"/>
      <c r="C10" s="9"/>
      <c r="D10" s="14"/>
      <c r="E10" s="14"/>
      <c r="F10" s="17">
        <f t="shared" si="0"/>
        <v>0</v>
      </c>
      <c r="G10" s="7"/>
    </row>
    <row r="11" spans="1:8" x14ac:dyDescent="0.2">
      <c r="A11" s="7"/>
      <c r="B11" s="7"/>
      <c r="C11" s="9"/>
      <c r="D11" s="14"/>
      <c r="E11" s="14"/>
      <c r="F11" s="17">
        <f t="shared" si="0"/>
        <v>0</v>
      </c>
      <c r="G11" s="7"/>
    </row>
    <row r="12" spans="1:8" x14ac:dyDescent="0.2">
      <c r="A12" s="7"/>
      <c r="B12" s="7"/>
      <c r="C12" s="9"/>
      <c r="D12" s="14"/>
      <c r="E12" s="14"/>
      <c r="F12" s="17">
        <f t="shared" si="0"/>
        <v>0</v>
      </c>
      <c r="G12" s="7"/>
    </row>
    <row r="13" spans="1:8" x14ac:dyDescent="0.2">
      <c r="A13" s="7"/>
      <c r="B13" s="7"/>
      <c r="C13" s="9"/>
      <c r="D13" s="14"/>
      <c r="E13" s="14"/>
      <c r="F13" s="17">
        <f t="shared" si="0"/>
        <v>0</v>
      </c>
      <c r="G13" s="7"/>
    </row>
    <row r="14" spans="1:8" x14ac:dyDescent="0.2">
      <c r="A14" s="7"/>
      <c r="B14" s="7"/>
      <c r="C14" s="9"/>
      <c r="D14" s="14"/>
      <c r="E14" s="14"/>
      <c r="F14" s="17">
        <f t="shared" si="0"/>
        <v>0</v>
      </c>
      <c r="G14" s="7"/>
    </row>
    <row r="15" spans="1:8" x14ac:dyDescent="0.2">
      <c r="A15" s="7"/>
      <c r="B15" s="7"/>
      <c r="C15" s="9"/>
      <c r="D15" s="14"/>
      <c r="E15" s="14"/>
      <c r="F15" s="17">
        <f t="shared" si="0"/>
        <v>0</v>
      </c>
      <c r="G15" s="7"/>
    </row>
    <row r="16" spans="1:8" x14ac:dyDescent="0.2">
      <c r="A16" s="7"/>
      <c r="B16" s="7"/>
      <c r="C16" s="9"/>
      <c r="D16" s="14"/>
      <c r="E16" s="14"/>
      <c r="F16" s="17">
        <f t="shared" si="0"/>
        <v>0</v>
      </c>
      <c r="G16" s="7"/>
    </row>
    <row r="17" spans="1:7" x14ac:dyDescent="0.2">
      <c r="A17" s="7"/>
      <c r="B17" s="7"/>
      <c r="C17" s="9"/>
      <c r="D17" s="14"/>
      <c r="E17" s="14"/>
      <c r="F17" s="17">
        <f t="shared" si="0"/>
        <v>0</v>
      </c>
      <c r="G17" s="7"/>
    </row>
    <row r="18" spans="1:7" x14ac:dyDescent="0.2">
      <c r="A18" s="7"/>
      <c r="B18" s="7"/>
      <c r="C18" s="9"/>
      <c r="D18" s="14"/>
      <c r="E18" s="14"/>
      <c r="F18" s="17">
        <f t="shared" si="0"/>
        <v>0</v>
      </c>
      <c r="G18" s="7"/>
    </row>
    <row r="19" spans="1:7" x14ac:dyDescent="0.2">
      <c r="A19" s="7"/>
      <c r="B19" s="7"/>
      <c r="C19" s="9"/>
      <c r="D19" s="14"/>
      <c r="E19" s="14"/>
      <c r="F19" s="17">
        <f t="shared" si="0"/>
        <v>0</v>
      </c>
      <c r="G19" s="7"/>
    </row>
    <row r="20" spans="1:7" x14ac:dyDescent="0.2">
      <c r="A20" s="7"/>
      <c r="B20" s="7"/>
      <c r="C20" s="9"/>
      <c r="D20" s="14"/>
      <c r="E20" s="14"/>
      <c r="F20" s="17">
        <f t="shared" si="0"/>
        <v>0</v>
      </c>
      <c r="G20" s="7"/>
    </row>
    <row r="21" spans="1:7" x14ac:dyDescent="0.2">
      <c r="A21" s="7"/>
      <c r="B21" s="7"/>
      <c r="C21" s="9"/>
      <c r="D21" s="14"/>
      <c r="E21" s="14"/>
      <c r="F21" s="17">
        <f t="shared" si="0"/>
        <v>0</v>
      </c>
      <c r="G21" s="7"/>
    </row>
    <row r="22" spans="1:7" x14ac:dyDescent="0.2">
      <c r="A22" s="7"/>
      <c r="B22" s="7"/>
      <c r="C22" s="9"/>
      <c r="D22" s="14"/>
      <c r="E22" s="14"/>
      <c r="F22" s="17">
        <f t="shared" si="0"/>
        <v>0</v>
      </c>
      <c r="G22" s="7"/>
    </row>
    <row r="23" spans="1:7" x14ac:dyDescent="0.2">
      <c r="A23" s="7"/>
      <c r="B23" s="7"/>
      <c r="C23" s="9"/>
      <c r="D23" s="14"/>
      <c r="E23" s="14"/>
      <c r="F23" s="17">
        <f t="shared" si="0"/>
        <v>0</v>
      </c>
      <c r="G23" s="7"/>
    </row>
    <row r="24" spans="1:7" x14ac:dyDescent="0.2">
      <c r="A24" s="7"/>
      <c r="B24" s="7"/>
      <c r="C24" s="9"/>
      <c r="D24" s="14"/>
      <c r="E24" s="14"/>
      <c r="F24" s="17">
        <f t="shared" si="0"/>
        <v>0</v>
      </c>
      <c r="G24" s="7"/>
    </row>
    <row r="25" spans="1:7" x14ac:dyDescent="0.2">
      <c r="A25" s="7"/>
      <c r="B25" s="7"/>
      <c r="C25" s="9"/>
      <c r="D25" s="14"/>
      <c r="E25" s="14"/>
      <c r="F25" s="17">
        <f t="shared" si="0"/>
        <v>0</v>
      </c>
      <c r="G25" s="7"/>
    </row>
    <row r="26" spans="1:7" x14ac:dyDescent="0.2">
      <c r="A26" s="7"/>
      <c r="B26" s="7"/>
      <c r="C26" s="9"/>
      <c r="D26" s="14"/>
      <c r="E26" s="14"/>
      <c r="F26" s="17">
        <f t="shared" si="0"/>
        <v>0</v>
      </c>
      <c r="G26" s="7"/>
    </row>
    <row r="27" spans="1:7" x14ac:dyDescent="0.2">
      <c r="A27" s="7"/>
      <c r="B27" s="7"/>
      <c r="C27" s="9"/>
      <c r="D27" s="14"/>
      <c r="E27" s="14"/>
      <c r="F27" s="17">
        <f t="shared" si="0"/>
        <v>0</v>
      </c>
      <c r="G27" s="7"/>
    </row>
    <row r="28" spans="1:7" x14ac:dyDescent="0.2">
      <c r="A28" s="7"/>
      <c r="B28" s="7"/>
      <c r="C28" s="9"/>
      <c r="D28" s="14"/>
      <c r="E28" s="14"/>
      <c r="F28" s="17">
        <f t="shared" si="0"/>
        <v>0</v>
      </c>
      <c r="G28" s="7"/>
    </row>
    <row r="29" spans="1:7" x14ac:dyDescent="0.2">
      <c r="A29" s="7"/>
      <c r="B29" s="7"/>
      <c r="C29" s="9"/>
      <c r="D29" s="14"/>
      <c r="E29" s="14"/>
      <c r="F29" s="17">
        <f t="shared" si="0"/>
        <v>0</v>
      </c>
      <c r="G29" s="7"/>
    </row>
    <row r="30" spans="1:7" x14ac:dyDescent="0.2">
      <c r="A30" s="7"/>
      <c r="B30" s="7"/>
      <c r="C30" s="9"/>
      <c r="D30" s="14"/>
      <c r="E30" s="14"/>
      <c r="F30" s="17">
        <f t="shared" si="0"/>
        <v>0</v>
      </c>
      <c r="G30" s="7"/>
    </row>
    <row r="31" spans="1:7" x14ac:dyDescent="0.2">
      <c r="A31" s="7"/>
      <c r="B31" s="7"/>
      <c r="C31" s="9"/>
      <c r="D31" s="14"/>
      <c r="E31" s="14"/>
      <c r="F31" s="17">
        <f t="shared" si="0"/>
        <v>0</v>
      </c>
      <c r="G31" s="7"/>
    </row>
    <row r="32" spans="1:7" x14ac:dyDescent="0.2">
      <c r="A32" s="7"/>
      <c r="B32" s="7"/>
      <c r="C32" s="9"/>
      <c r="D32" s="14"/>
      <c r="E32" s="14"/>
      <c r="F32" s="17">
        <f t="shared" si="0"/>
        <v>0</v>
      </c>
      <c r="G32" s="7"/>
    </row>
    <row r="33" spans="1:7" x14ac:dyDescent="0.2">
      <c r="A33" s="7"/>
      <c r="B33" s="7"/>
      <c r="C33" s="9"/>
      <c r="D33" s="14"/>
      <c r="E33" s="14"/>
      <c r="F33" s="17">
        <f t="shared" si="0"/>
        <v>0</v>
      </c>
      <c r="G33" s="7"/>
    </row>
    <row r="34" spans="1:7" x14ac:dyDescent="0.2">
      <c r="A34" s="7"/>
      <c r="B34" s="7"/>
      <c r="C34" s="9"/>
      <c r="D34" s="14"/>
      <c r="E34" s="14"/>
      <c r="F34" s="17">
        <f t="shared" si="0"/>
        <v>0</v>
      </c>
      <c r="G34" s="7"/>
    </row>
    <row r="35" spans="1:7" x14ac:dyDescent="0.2">
      <c r="A35" s="7"/>
      <c r="B35" s="7"/>
      <c r="C35" s="9"/>
      <c r="D35" s="14"/>
      <c r="E35" s="14"/>
      <c r="F35" s="17">
        <f t="shared" si="0"/>
        <v>0</v>
      </c>
      <c r="G35" s="7"/>
    </row>
    <row r="36" spans="1:7" x14ac:dyDescent="0.2">
      <c r="A36" s="7"/>
      <c r="B36" s="7"/>
      <c r="C36" s="9"/>
      <c r="D36" s="14"/>
      <c r="E36" s="14"/>
      <c r="F36" s="17">
        <f t="shared" si="0"/>
        <v>0</v>
      </c>
      <c r="G36" s="7"/>
    </row>
    <row r="37" spans="1:7" x14ac:dyDescent="0.2">
      <c r="A37" s="7"/>
      <c r="B37" s="7"/>
      <c r="C37" s="9"/>
      <c r="D37" s="14"/>
      <c r="E37" s="14"/>
      <c r="F37" s="17">
        <f t="shared" ref="F37:F68" si="1">MAX(D37-E37,0)</f>
        <v>0</v>
      </c>
      <c r="G37" s="7"/>
    </row>
    <row r="38" spans="1:7" x14ac:dyDescent="0.2">
      <c r="A38" s="7"/>
      <c r="B38" s="7"/>
      <c r="C38" s="9"/>
      <c r="D38" s="14"/>
      <c r="E38" s="14"/>
      <c r="F38" s="17">
        <f t="shared" si="1"/>
        <v>0</v>
      </c>
      <c r="G38" s="7"/>
    </row>
    <row r="39" spans="1:7" x14ac:dyDescent="0.2">
      <c r="A39" s="7"/>
      <c r="B39" s="7"/>
      <c r="C39" s="9"/>
      <c r="D39" s="14"/>
      <c r="E39" s="14"/>
      <c r="F39" s="17">
        <f t="shared" si="1"/>
        <v>0</v>
      </c>
      <c r="G39" s="7"/>
    </row>
    <row r="40" spans="1:7" x14ac:dyDescent="0.2">
      <c r="A40" s="7"/>
      <c r="B40" s="7"/>
      <c r="C40" s="9"/>
      <c r="D40" s="14"/>
      <c r="E40" s="14"/>
      <c r="F40" s="17">
        <f t="shared" si="1"/>
        <v>0</v>
      </c>
      <c r="G40" s="7"/>
    </row>
    <row r="41" spans="1:7" x14ac:dyDescent="0.2">
      <c r="A41" s="7"/>
      <c r="B41" s="7"/>
      <c r="C41" s="9"/>
      <c r="D41" s="14"/>
      <c r="E41" s="14"/>
      <c r="F41" s="17">
        <f t="shared" si="1"/>
        <v>0</v>
      </c>
      <c r="G41" s="7"/>
    </row>
    <row r="42" spans="1:7" x14ac:dyDescent="0.2">
      <c r="A42" s="7"/>
      <c r="B42" s="7"/>
      <c r="C42" s="9"/>
      <c r="D42" s="14"/>
      <c r="E42" s="14"/>
      <c r="F42" s="17">
        <f t="shared" si="1"/>
        <v>0</v>
      </c>
      <c r="G42" s="7"/>
    </row>
    <row r="43" spans="1:7" x14ac:dyDescent="0.2">
      <c r="A43" s="7"/>
      <c r="B43" s="7"/>
      <c r="C43" s="9"/>
      <c r="D43" s="14"/>
      <c r="E43" s="14"/>
      <c r="F43" s="17">
        <f t="shared" si="1"/>
        <v>0</v>
      </c>
      <c r="G43" s="7"/>
    </row>
    <row r="44" spans="1:7" x14ac:dyDescent="0.2">
      <c r="A44" s="7"/>
      <c r="B44" s="7"/>
      <c r="C44" s="9"/>
      <c r="D44" s="14"/>
      <c r="E44" s="14"/>
      <c r="F44" s="17">
        <f t="shared" si="1"/>
        <v>0</v>
      </c>
      <c r="G44" s="7"/>
    </row>
    <row r="45" spans="1:7" x14ac:dyDescent="0.2">
      <c r="A45" s="7"/>
      <c r="B45" s="7"/>
      <c r="C45" s="9"/>
      <c r="D45" s="14"/>
      <c r="E45" s="14"/>
      <c r="F45" s="17">
        <f t="shared" si="1"/>
        <v>0</v>
      </c>
      <c r="G45" s="7"/>
    </row>
    <row r="46" spans="1:7" x14ac:dyDescent="0.2">
      <c r="A46" s="7"/>
      <c r="B46" s="7"/>
      <c r="C46" s="9"/>
      <c r="D46" s="14"/>
      <c r="E46" s="14"/>
      <c r="F46" s="17">
        <f t="shared" si="1"/>
        <v>0</v>
      </c>
      <c r="G46" s="7"/>
    </row>
    <row r="47" spans="1:7" x14ac:dyDescent="0.2">
      <c r="A47" s="7"/>
      <c r="B47" s="7"/>
      <c r="C47" s="9"/>
      <c r="D47" s="14"/>
      <c r="E47" s="14"/>
      <c r="F47" s="17">
        <f t="shared" si="1"/>
        <v>0</v>
      </c>
      <c r="G47" s="7"/>
    </row>
    <row r="48" spans="1:7" x14ac:dyDescent="0.2">
      <c r="A48" s="7"/>
      <c r="B48" s="7"/>
      <c r="C48" s="9"/>
      <c r="D48" s="14"/>
      <c r="E48" s="14"/>
      <c r="F48" s="17">
        <f t="shared" si="1"/>
        <v>0</v>
      </c>
      <c r="G48" s="7"/>
    </row>
    <row r="49" spans="1:7" x14ac:dyDescent="0.2">
      <c r="A49" s="7"/>
      <c r="B49" s="7"/>
      <c r="C49" s="9"/>
      <c r="D49" s="14"/>
      <c r="E49" s="14"/>
      <c r="F49" s="17">
        <f t="shared" si="1"/>
        <v>0</v>
      </c>
      <c r="G49" s="7"/>
    </row>
    <row r="50" spans="1:7" x14ac:dyDescent="0.2">
      <c r="A50" s="7"/>
      <c r="B50" s="7"/>
      <c r="C50" s="9"/>
      <c r="D50" s="14"/>
      <c r="E50" s="14"/>
      <c r="F50" s="17">
        <f t="shared" si="1"/>
        <v>0</v>
      </c>
      <c r="G50" s="7"/>
    </row>
    <row r="51" spans="1:7" x14ac:dyDescent="0.2">
      <c r="A51" s="7"/>
      <c r="B51" s="7"/>
      <c r="C51" s="9"/>
      <c r="D51" s="14"/>
      <c r="E51" s="14"/>
      <c r="F51" s="17">
        <f t="shared" si="1"/>
        <v>0</v>
      </c>
      <c r="G51" s="7"/>
    </row>
    <row r="52" spans="1:7" x14ac:dyDescent="0.2">
      <c r="A52" s="7"/>
      <c r="B52" s="7"/>
      <c r="C52" s="9"/>
      <c r="D52" s="14"/>
      <c r="E52" s="14"/>
      <c r="F52" s="17">
        <f t="shared" si="1"/>
        <v>0</v>
      </c>
      <c r="G52" s="7"/>
    </row>
    <row r="53" spans="1:7" x14ac:dyDescent="0.2">
      <c r="A53" s="7"/>
      <c r="B53" s="7"/>
      <c r="C53" s="9"/>
      <c r="D53" s="14"/>
      <c r="E53" s="14"/>
      <c r="F53" s="17">
        <f t="shared" si="1"/>
        <v>0</v>
      </c>
      <c r="G53" s="7"/>
    </row>
    <row r="54" spans="1:7" x14ac:dyDescent="0.2">
      <c r="A54" s="7"/>
      <c r="B54" s="7"/>
      <c r="C54" s="9"/>
      <c r="D54" s="14"/>
      <c r="E54" s="14"/>
      <c r="F54" s="17">
        <f t="shared" si="1"/>
        <v>0</v>
      </c>
      <c r="G54" s="7"/>
    </row>
    <row r="55" spans="1:7" x14ac:dyDescent="0.2">
      <c r="A55" s="13" t="s">
        <v>132</v>
      </c>
      <c r="B55" s="15"/>
      <c r="C55" s="15"/>
      <c r="D55" s="16">
        <f>SUM(D5:D54)</f>
        <v>0</v>
      </c>
      <c r="E55" s="16">
        <f>SUM(E5:E54)</f>
        <v>0</v>
      </c>
      <c r="F55" s="16">
        <f>SUM(F5:F54)</f>
        <v>0</v>
      </c>
    </row>
  </sheetData>
  <autoFilter ref="A4:G4" xr:uid="{00000000-0009-0000-0000-000005000000}"/>
  <mergeCells count="2">
    <mergeCell ref="A3:H3"/>
    <mergeCell ref="A2:H2"/>
  </mergeCells>
  <dataValidations count="3">
    <dataValidation type="custom" allowBlank="1" showInputMessage="1" showErrorMessage="1" errorTitle="Documento inválido" error="Digite um CPF (11 dígitos) ou CNPJ (14 dígitos)." promptTitle="CPF/CNPJ" prompt="CPF: 11 dígitos. CNPJ: 14 dígitos." sqref="C5:C54" xr:uid="{00000000-0002-0000-0500-000001000000}">
      <formula1>OR(LEN(C5)=0,LEN(SUBSTITUTE(SUBSTITUTE(SUBSTITUTE(SUBSTITUTE(C5,".",""),"-",""),"/","")," ",""))=11,LEN(SUBSTITUTE(SUBSTITUTE(SUBSTITUTE(SUBSTITUTE(C5,".",""),"-",""),"/","")," ",""))=14)</formula1>
    </dataValidation>
    <dataValidation type="decimal" operator="greaterThanOrEqual" allowBlank="1" showErrorMessage="1" errorTitle="Valor inválido" error="Digite um valor maior ou igual a zero." sqref="D5:E54" xr:uid="{00000000-0002-0000-0500-000002000000}">
      <formula1>0</formula1>
    </dataValidation>
    <dataValidation type="custom" allowBlank="1" showErrorMessage="1" errorTitle="Reembolso inválido" error="O reembolso não pode ser maior que o valor pago." sqref="E5:E54" xr:uid="{00000000-0002-0000-0500-000003000000}">
      <formula1>E5&lt;=D5</formula1>
    </dataValidation>
  </dataValidations>
  <hyperlinks>
    <hyperlink ref="A1" location="Menu!A1" display="◀ Voltar ao Menu" xr:uid="{00000000-0004-0000-0500-000000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a das opções da lista." xr:uid="{00000000-0002-0000-0500-000000000000}">
          <x14:formula1>
            <xm:f>Listas_aux!$E$2:$E$10</xm:f>
          </x14:formula1>
          <xm:sqref>A5:A54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5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26" customWidth="1"/>
    <col min="4" max="4" width="24" customWidth="1"/>
    <col min="5" max="5" width="22" customWidth="1"/>
  </cols>
  <sheetData>
    <row r="1" spans="1:8" x14ac:dyDescent="0.2">
      <c r="A1" s="5" t="s">
        <v>92</v>
      </c>
    </row>
    <row r="2" spans="1:8" ht="26" customHeight="1" x14ac:dyDescent="0.2">
      <c r="A2" s="28" t="s">
        <v>141</v>
      </c>
      <c r="B2" s="22"/>
      <c r="C2" s="22"/>
      <c r="D2" s="22"/>
      <c r="E2" s="22"/>
      <c r="F2" s="22"/>
      <c r="G2" s="22"/>
      <c r="H2" s="22"/>
    </row>
    <row r="3" spans="1:8" x14ac:dyDescent="0.2">
      <c r="A3" s="29" t="s">
        <v>142</v>
      </c>
      <c r="B3" s="22"/>
      <c r="C3" s="22"/>
      <c r="D3" s="22"/>
      <c r="E3" s="22"/>
      <c r="F3" s="22"/>
      <c r="G3" s="22"/>
      <c r="H3" s="22"/>
    </row>
    <row r="4" spans="1:8" ht="30" customHeight="1" x14ac:dyDescent="0.2">
      <c r="A4" s="12" t="s">
        <v>143</v>
      </c>
      <c r="B4" s="12" t="s">
        <v>144</v>
      </c>
      <c r="C4" s="12" t="s">
        <v>145</v>
      </c>
      <c r="D4" s="12" t="s">
        <v>146</v>
      </c>
      <c r="E4" s="12" t="s">
        <v>147</v>
      </c>
    </row>
    <row r="5" spans="1:8" x14ac:dyDescent="0.2">
      <c r="A5" s="7"/>
      <c r="B5" s="7"/>
      <c r="C5" s="14"/>
      <c r="D5" s="14"/>
      <c r="E5" s="17">
        <f t="shared" ref="E5:E36" si="0">D5-C5</f>
        <v>0</v>
      </c>
    </row>
    <row r="6" spans="1:8" x14ac:dyDescent="0.2">
      <c r="A6" s="7"/>
      <c r="B6" s="7"/>
      <c r="C6" s="14"/>
      <c r="D6" s="14"/>
      <c r="E6" s="17">
        <f t="shared" si="0"/>
        <v>0</v>
      </c>
    </row>
    <row r="7" spans="1:8" x14ac:dyDescent="0.2">
      <c r="A7" s="7"/>
      <c r="B7" s="7"/>
      <c r="C7" s="14"/>
      <c r="D7" s="14"/>
      <c r="E7" s="17">
        <f t="shared" si="0"/>
        <v>0</v>
      </c>
    </row>
    <row r="8" spans="1:8" x14ac:dyDescent="0.2">
      <c r="A8" s="7"/>
      <c r="B8" s="7"/>
      <c r="C8" s="14"/>
      <c r="D8" s="14"/>
      <c r="E8" s="17">
        <f t="shared" si="0"/>
        <v>0</v>
      </c>
    </row>
    <row r="9" spans="1:8" x14ac:dyDescent="0.2">
      <c r="A9" s="7"/>
      <c r="B9" s="7"/>
      <c r="C9" s="14"/>
      <c r="D9" s="14"/>
      <c r="E9" s="17">
        <f t="shared" si="0"/>
        <v>0</v>
      </c>
    </row>
    <row r="10" spans="1:8" x14ac:dyDescent="0.2">
      <c r="A10" s="7"/>
      <c r="B10" s="7"/>
      <c r="C10" s="14"/>
      <c r="D10" s="14"/>
      <c r="E10" s="17">
        <f t="shared" si="0"/>
        <v>0</v>
      </c>
    </row>
    <row r="11" spans="1:8" x14ac:dyDescent="0.2">
      <c r="A11" s="7"/>
      <c r="B11" s="7"/>
      <c r="C11" s="14"/>
      <c r="D11" s="14"/>
      <c r="E11" s="17">
        <f t="shared" si="0"/>
        <v>0</v>
      </c>
    </row>
    <row r="12" spans="1:8" x14ac:dyDescent="0.2">
      <c r="A12" s="7"/>
      <c r="B12" s="7"/>
      <c r="C12" s="14"/>
      <c r="D12" s="14"/>
      <c r="E12" s="17">
        <f t="shared" si="0"/>
        <v>0</v>
      </c>
    </row>
    <row r="13" spans="1:8" x14ac:dyDescent="0.2">
      <c r="A13" s="7"/>
      <c r="B13" s="7"/>
      <c r="C13" s="14"/>
      <c r="D13" s="14"/>
      <c r="E13" s="17">
        <f t="shared" si="0"/>
        <v>0</v>
      </c>
    </row>
    <row r="14" spans="1:8" x14ac:dyDescent="0.2">
      <c r="A14" s="7"/>
      <c r="B14" s="7"/>
      <c r="C14" s="14"/>
      <c r="D14" s="14"/>
      <c r="E14" s="17">
        <f t="shared" si="0"/>
        <v>0</v>
      </c>
    </row>
    <row r="15" spans="1:8" x14ac:dyDescent="0.2">
      <c r="A15" s="7"/>
      <c r="B15" s="7"/>
      <c r="C15" s="14"/>
      <c r="D15" s="14"/>
      <c r="E15" s="17">
        <f t="shared" si="0"/>
        <v>0</v>
      </c>
    </row>
    <row r="16" spans="1:8" x14ac:dyDescent="0.2">
      <c r="A16" s="7"/>
      <c r="B16" s="7"/>
      <c r="C16" s="14"/>
      <c r="D16" s="14"/>
      <c r="E16" s="17">
        <f t="shared" si="0"/>
        <v>0</v>
      </c>
    </row>
    <row r="17" spans="1:5" x14ac:dyDescent="0.2">
      <c r="A17" s="7"/>
      <c r="B17" s="7"/>
      <c r="C17" s="14"/>
      <c r="D17" s="14"/>
      <c r="E17" s="17">
        <f t="shared" si="0"/>
        <v>0</v>
      </c>
    </row>
    <row r="18" spans="1:5" x14ac:dyDescent="0.2">
      <c r="A18" s="7"/>
      <c r="B18" s="7"/>
      <c r="C18" s="14"/>
      <c r="D18" s="14"/>
      <c r="E18" s="17">
        <f t="shared" si="0"/>
        <v>0</v>
      </c>
    </row>
    <row r="19" spans="1:5" x14ac:dyDescent="0.2">
      <c r="A19" s="7"/>
      <c r="B19" s="7"/>
      <c r="C19" s="14"/>
      <c r="D19" s="14"/>
      <c r="E19" s="17">
        <f t="shared" si="0"/>
        <v>0</v>
      </c>
    </row>
    <row r="20" spans="1:5" x14ac:dyDescent="0.2">
      <c r="A20" s="7"/>
      <c r="B20" s="7"/>
      <c r="C20" s="14"/>
      <c r="D20" s="14"/>
      <c r="E20" s="17">
        <f t="shared" si="0"/>
        <v>0</v>
      </c>
    </row>
    <row r="21" spans="1:5" x14ac:dyDescent="0.2">
      <c r="A21" s="7"/>
      <c r="B21" s="7"/>
      <c r="C21" s="14"/>
      <c r="D21" s="14"/>
      <c r="E21" s="17">
        <f t="shared" si="0"/>
        <v>0</v>
      </c>
    </row>
    <row r="22" spans="1:5" x14ac:dyDescent="0.2">
      <c r="A22" s="7"/>
      <c r="B22" s="7"/>
      <c r="C22" s="14"/>
      <c r="D22" s="14"/>
      <c r="E22" s="17">
        <f t="shared" si="0"/>
        <v>0</v>
      </c>
    </row>
    <row r="23" spans="1:5" x14ac:dyDescent="0.2">
      <c r="A23" s="7"/>
      <c r="B23" s="7"/>
      <c r="C23" s="14"/>
      <c r="D23" s="14"/>
      <c r="E23" s="17">
        <f t="shared" si="0"/>
        <v>0</v>
      </c>
    </row>
    <row r="24" spans="1:5" x14ac:dyDescent="0.2">
      <c r="A24" s="7"/>
      <c r="B24" s="7"/>
      <c r="C24" s="14"/>
      <c r="D24" s="14"/>
      <c r="E24" s="17">
        <f t="shared" si="0"/>
        <v>0</v>
      </c>
    </row>
    <row r="25" spans="1:5" x14ac:dyDescent="0.2">
      <c r="A25" s="7"/>
      <c r="B25" s="7"/>
      <c r="C25" s="14"/>
      <c r="D25" s="14"/>
      <c r="E25" s="17">
        <f t="shared" si="0"/>
        <v>0</v>
      </c>
    </row>
    <row r="26" spans="1:5" x14ac:dyDescent="0.2">
      <c r="A26" s="7"/>
      <c r="B26" s="7"/>
      <c r="C26" s="14"/>
      <c r="D26" s="14"/>
      <c r="E26" s="17">
        <f t="shared" si="0"/>
        <v>0</v>
      </c>
    </row>
    <row r="27" spans="1:5" x14ac:dyDescent="0.2">
      <c r="A27" s="7"/>
      <c r="B27" s="7"/>
      <c r="C27" s="14"/>
      <c r="D27" s="14"/>
      <c r="E27" s="17">
        <f t="shared" si="0"/>
        <v>0</v>
      </c>
    </row>
    <row r="28" spans="1:5" x14ac:dyDescent="0.2">
      <c r="A28" s="7"/>
      <c r="B28" s="7"/>
      <c r="C28" s="14"/>
      <c r="D28" s="14"/>
      <c r="E28" s="17">
        <f t="shared" si="0"/>
        <v>0</v>
      </c>
    </row>
    <row r="29" spans="1:5" x14ac:dyDescent="0.2">
      <c r="A29" s="7"/>
      <c r="B29" s="7"/>
      <c r="C29" s="14"/>
      <c r="D29" s="14"/>
      <c r="E29" s="17">
        <f t="shared" si="0"/>
        <v>0</v>
      </c>
    </row>
    <row r="30" spans="1:5" x14ac:dyDescent="0.2">
      <c r="A30" s="7"/>
      <c r="B30" s="7"/>
      <c r="C30" s="14"/>
      <c r="D30" s="14"/>
      <c r="E30" s="17">
        <f t="shared" si="0"/>
        <v>0</v>
      </c>
    </row>
    <row r="31" spans="1:5" x14ac:dyDescent="0.2">
      <c r="A31" s="7"/>
      <c r="B31" s="7"/>
      <c r="C31" s="14"/>
      <c r="D31" s="14"/>
      <c r="E31" s="17">
        <f t="shared" si="0"/>
        <v>0</v>
      </c>
    </row>
    <row r="32" spans="1:5" x14ac:dyDescent="0.2">
      <c r="A32" s="7"/>
      <c r="B32" s="7"/>
      <c r="C32" s="14"/>
      <c r="D32" s="14"/>
      <c r="E32" s="17">
        <f t="shared" si="0"/>
        <v>0</v>
      </c>
    </row>
    <row r="33" spans="1:5" x14ac:dyDescent="0.2">
      <c r="A33" s="7"/>
      <c r="B33" s="7"/>
      <c r="C33" s="14"/>
      <c r="D33" s="14"/>
      <c r="E33" s="17">
        <f t="shared" si="0"/>
        <v>0</v>
      </c>
    </row>
    <row r="34" spans="1:5" x14ac:dyDescent="0.2">
      <c r="A34" s="7"/>
      <c r="B34" s="7"/>
      <c r="C34" s="14"/>
      <c r="D34" s="14"/>
      <c r="E34" s="17">
        <f t="shared" si="0"/>
        <v>0</v>
      </c>
    </row>
    <row r="35" spans="1:5" x14ac:dyDescent="0.2">
      <c r="A35" s="7"/>
      <c r="B35" s="7"/>
      <c r="C35" s="14"/>
      <c r="D35" s="14"/>
      <c r="E35" s="17">
        <f t="shared" si="0"/>
        <v>0</v>
      </c>
    </row>
    <row r="36" spans="1:5" x14ac:dyDescent="0.2">
      <c r="A36" s="7"/>
      <c r="B36" s="7"/>
      <c r="C36" s="14"/>
      <c r="D36" s="14"/>
      <c r="E36" s="17">
        <f t="shared" si="0"/>
        <v>0</v>
      </c>
    </row>
    <row r="37" spans="1:5" x14ac:dyDescent="0.2">
      <c r="A37" s="7"/>
      <c r="B37" s="7"/>
      <c r="C37" s="14"/>
      <c r="D37" s="14"/>
      <c r="E37" s="17">
        <f t="shared" ref="E37:E68" si="1">D37-C37</f>
        <v>0</v>
      </c>
    </row>
    <row r="38" spans="1:5" x14ac:dyDescent="0.2">
      <c r="A38" s="7"/>
      <c r="B38" s="7"/>
      <c r="C38" s="14"/>
      <c r="D38" s="14"/>
      <c r="E38" s="17">
        <f t="shared" si="1"/>
        <v>0</v>
      </c>
    </row>
    <row r="39" spans="1:5" x14ac:dyDescent="0.2">
      <c r="A39" s="7"/>
      <c r="B39" s="7"/>
      <c r="C39" s="14"/>
      <c r="D39" s="14"/>
      <c r="E39" s="17">
        <f t="shared" si="1"/>
        <v>0</v>
      </c>
    </row>
    <row r="40" spans="1:5" x14ac:dyDescent="0.2">
      <c r="A40" s="7"/>
      <c r="B40" s="7"/>
      <c r="C40" s="14"/>
      <c r="D40" s="14"/>
      <c r="E40" s="17">
        <f t="shared" si="1"/>
        <v>0</v>
      </c>
    </row>
    <row r="41" spans="1:5" x14ac:dyDescent="0.2">
      <c r="A41" s="7"/>
      <c r="B41" s="7"/>
      <c r="C41" s="14"/>
      <c r="D41" s="14"/>
      <c r="E41" s="17">
        <f t="shared" si="1"/>
        <v>0</v>
      </c>
    </row>
    <row r="42" spans="1:5" x14ac:dyDescent="0.2">
      <c r="A42" s="7"/>
      <c r="B42" s="7"/>
      <c r="C42" s="14"/>
      <c r="D42" s="14"/>
      <c r="E42" s="17">
        <f t="shared" si="1"/>
        <v>0</v>
      </c>
    </row>
    <row r="43" spans="1:5" x14ac:dyDescent="0.2">
      <c r="A43" s="7"/>
      <c r="B43" s="7"/>
      <c r="C43" s="14"/>
      <c r="D43" s="14"/>
      <c r="E43" s="17">
        <f t="shared" si="1"/>
        <v>0</v>
      </c>
    </row>
    <row r="44" spans="1:5" x14ac:dyDescent="0.2">
      <c r="A44" s="7"/>
      <c r="B44" s="7"/>
      <c r="C44" s="14"/>
      <c r="D44" s="14"/>
      <c r="E44" s="17">
        <f t="shared" si="1"/>
        <v>0</v>
      </c>
    </row>
    <row r="45" spans="1:5" x14ac:dyDescent="0.2">
      <c r="A45" s="7"/>
      <c r="B45" s="7"/>
      <c r="C45" s="14"/>
      <c r="D45" s="14"/>
      <c r="E45" s="17">
        <f t="shared" si="1"/>
        <v>0</v>
      </c>
    </row>
    <row r="46" spans="1:5" x14ac:dyDescent="0.2">
      <c r="A46" s="7"/>
      <c r="B46" s="7"/>
      <c r="C46" s="14"/>
      <c r="D46" s="14"/>
      <c r="E46" s="17">
        <f t="shared" si="1"/>
        <v>0</v>
      </c>
    </row>
    <row r="47" spans="1:5" x14ac:dyDescent="0.2">
      <c r="A47" s="7"/>
      <c r="B47" s="7"/>
      <c r="C47" s="14"/>
      <c r="D47" s="14"/>
      <c r="E47" s="17">
        <f t="shared" si="1"/>
        <v>0</v>
      </c>
    </row>
    <row r="48" spans="1:5" x14ac:dyDescent="0.2">
      <c r="A48" s="7"/>
      <c r="B48" s="7"/>
      <c r="C48" s="14"/>
      <c r="D48" s="14"/>
      <c r="E48" s="17">
        <f t="shared" si="1"/>
        <v>0</v>
      </c>
    </row>
    <row r="49" spans="1:5" x14ac:dyDescent="0.2">
      <c r="A49" s="7"/>
      <c r="B49" s="7"/>
      <c r="C49" s="14"/>
      <c r="D49" s="14"/>
      <c r="E49" s="17">
        <f t="shared" si="1"/>
        <v>0</v>
      </c>
    </row>
    <row r="50" spans="1:5" x14ac:dyDescent="0.2">
      <c r="A50" s="7"/>
      <c r="B50" s="7"/>
      <c r="C50" s="14"/>
      <c r="D50" s="14"/>
      <c r="E50" s="17">
        <f t="shared" si="1"/>
        <v>0</v>
      </c>
    </row>
    <row r="51" spans="1:5" x14ac:dyDescent="0.2">
      <c r="A51" s="7"/>
      <c r="B51" s="7"/>
      <c r="C51" s="14"/>
      <c r="D51" s="14"/>
      <c r="E51" s="17">
        <f t="shared" si="1"/>
        <v>0</v>
      </c>
    </row>
    <row r="52" spans="1:5" x14ac:dyDescent="0.2">
      <c r="A52" s="7"/>
      <c r="B52" s="7"/>
      <c r="C52" s="14"/>
      <c r="D52" s="14"/>
      <c r="E52" s="17">
        <f t="shared" si="1"/>
        <v>0</v>
      </c>
    </row>
    <row r="53" spans="1:5" x14ac:dyDescent="0.2">
      <c r="A53" s="7"/>
      <c r="B53" s="7"/>
      <c r="C53" s="14"/>
      <c r="D53" s="14"/>
      <c r="E53" s="17">
        <f t="shared" si="1"/>
        <v>0</v>
      </c>
    </row>
    <row r="54" spans="1:5" x14ac:dyDescent="0.2">
      <c r="A54" s="7"/>
      <c r="B54" s="7"/>
      <c r="C54" s="14"/>
      <c r="D54" s="14"/>
      <c r="E54" s="17">
        <f t="shared" si="1"/>
        <v>0</v>
      </c>
    </row>
    <row r="55" spans="1:5" x14ac:dyDescent="0.2">
      <c r="A55" s="13" t="s">
        <v>132</v>
      </c>
      <c r="B55" s="15"/>
      <c r="C55" s="16">
        <f>SUM(C5:C54)</f>
        <v>0</v>
      </c>
      <c r="D55" s="16">
        <f>SUM(D5:D54)</f>
        <v>0</v>
      </c>
      <c r="E55" s="16">
        <f>SUM(E5:E54)</f>
        <v>0</v>
      </c>
    </row>
  </sheetData>
  <autoFilter ref="A4:E4" xr:uid="{00000000-0009-0000-0000-000006000000}"/>
  <mergeCells count="2">
    <mergeCell ref="A3:H3"/>
    <mergeCell ref="A2:H2"/>
  </mergeCells>
  <dataValidations count="1">
    <dataValidation type="decimal" operator="greaterThanOrEqual" allowBlank="1" showErrorMessage="1" errorTitle="Valor inválido" error="Digite um valor maior ou igual a zero." sqref="C5:D54" xr:uid="{00000000-0002-0000-0600-000001000000}">
      <formula1>0</formula1>
    </dataValidation>
  </dataValidations>
  <hyperlinks>
    <hyperlink ref="A1" location="Menu!A1" display="◀ Voltar ao Menu" xr:uid="{00000000-0004-0000-0600-000000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a das opções da lista." xr:uid="{00000000-0002-0000-0600-000000000000}">
          <x14:formula1>
            <xm:f>Listas_aux!$F$2:$F$7</xm:f>
          </x14:formula1>
          <xm:sqref>A5:A54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2" width="30" customWidth="1"/>
    <col min="3" max="3" width="27" customWidth="1"/>
    <col min="4" max="4" width="25" customWidth="1"/>
    <col min="5" max="5" width="22" customWidth="1"/>
  </cols>
  <sheetData>
    <row r="1" spans="1:8" x14ac:dyDescent="0.2">
      <c r="A1" s="5" t="s">
        <v>92</v>
      </c>
    </row>
    <row r="2" spans="1:8" ht="26" customHeight="1" x14ac:dyDescent="0.2">
      <c r="A2" s="28" t="s">
        <v>148</v>
      </c>
      <c r="B2" s="22"/>
      <c r="C2" s="22"/>
      <c r="D2" s="22"/>
      <c r="E2" s="22"/>
      <c r="F2" s="22"/>
      <c r="G2" s="22"/>
      <c r="H2" s="22"/>
    </row>
    <row r="3" spans="1:8" x14ac:dyDescent="0.2">
      <c r="A3" s="29" t="s">
        <v>149</v>
      </c>
      <c r="B3" s="22"/>
      <c r="C3" s="22"/>
      <c r="D3" s="22"/>
      <c r="E3" s="22"/>
      <c r="F3" s="22"/>
      <c r="G3" s="22"/>
      <c r="H3" s="22"/>
    </row>
    <row r="4" spans="1:8" ht="30" customHeight="1" x14ac:dyDescent="0.2">
      <c r="A4" s="12" t="s">
        <v>150</v>
      </c>
      <c r="B4" s="12" t="s">
        <v>126</v>
      </c>
      <c r="C4" s="12" t="s">
        <v>151</v>
      </c>
      <c r="D4" s="12" t="s">
        <v>152</v>
      </c>
      <c r="E4" s="12" t="s">
        <v>147</v>
      </c>
    </row>
    <row r="5" spans="1:8" x14ac:dyDescent="0.2">
      <c r="A5" s="7"/>
      <c r="B5" s="7"/>
      <c r="C5" s="14"/>
      <c r="D5" s="14"/>
      <c r="E5" s="17">
        <f t="shared" ref="E5:E36" si="0">D5-C5</f>
        <v>0</v>
      </c>
    </row>
    <row r="6" spans="1:8" x14ac:dyDescent="0.2">
      <c r="A6" s="7"/>
      <c r="B6" s="7"/>
      <c r="C6" s="14"/>
      <c r="D6" s="14"/>
      <c r="E6" s="17">
        <f t="shared" si="0"/>
        <v>0</v>
      </c>
    </row>
    <row r="7" spans="1:8" x14ac:dyDescent="0.2">
      <c r="A7" s="7"/>
      <c r="B7" s="7"/>
      <c r="C7" s="14"/>
      <c r="D7" s="14"/>
      <c r="E7" s="17">
        <f t="shared" si="0"/>
        <v>0</v>
      </c>
    </row>
    <row r="8" spans="1:8" x14ac:dyDescent="0.2">
      <c r="A8" s="7"/>
      <c r="B8" s="7"/>
      <c r="C8" s="14"/>
      <c r="D8" s="14"/>
      <c r="E8" s="17">
        <f t="shared" si="0"/>
        <v>0</v>
      </c>
    </row>
    <row r="9" spans="1:8" x14ac:dyDescent="0.2">
      <c r="A9" s="7"/>
      <c r="B9" s="7"/>
      <c r="C9" s="14"/>
      <c r="D9" s="14"/>
      <c r="E9" s="17">
        <f t="shared" si="0"/>
        <v>0</v>
      </c>
    </row>
    <row r="10" spans="1:8" x14ac:dyDescent="0.2">
      <c r="A10" s="7"/>
      <c r="B10" s="7"/>
      <c r="C10" s="14"/>
      <c r="D10" s="14"/>
      <c r="E10" s="17">
        <f t="shared" si="0"/>
        <v>0</v>
      </c>
    </row>
    <row r="11" spans="1:8" x14ac:dyDescent="0.2">
      <c r="A11" s="7"/>
      <c r="B11" s="7"/>
      <c r="C11" s="14"/>
      <c r="D11" s="14"/>
      <c r="E11" s="17">
        <f t="shared" si="0"/>
        <v>0</v>
      </c>
    </row>
    <row r="12" spans="1:8" x14ac:dyDescent="0.2">
      <c r="A12" s="7"/>
      <c r="B12" s="7"/>
      <c r="C12" s="14"/>
      <c r="D12" s="14"/>
      <c r="E12" s="17">
        <f t="shared" si="0"/>
        <v>0</v>
      </c>
    </row>
    <row r="13" spans="1:8" x14ac:dyDescent="0.2">
      <c r="A13" s="7"/>
      <c r="B13" s="7"/>
      <c r="C13" s="14"/>
      <c r="D13" s="14"/>
      <c r="E13" s="17">
        <f t="shared" si="0"/>
        <v>0</v>
      </c>
    </row>
    <row r="14" spans="1:8" x14ac:dyDescent="0.2">
      <c r="A14" s="7"/>
      <c r="B14" s="7"/>
      <c r="C14" s="14"/>
      <c r="D14" s="14"/>
      <c r="E14" s="17">
        <f t="shared" si="0"/>
        <v>0</v>
      </c>
    </row>
    <row r="15" spans="1:8" x14ac:dyDescent="0.2">
      <c r="A15" s="7"/>
      <c r="B15" s="7"/>
      <c r="C15" s="14"/>
      <c r="D15" s="14"/>
      <c r="E15" s="17">
        <f t="shared" si="0"/>
        <v>0</v>
      </c>
    </row>
    <row r="16" spans="1:8" x14ac:dyDescent="0.2">
      <c r="A16" s="7"/>
      <c r="B16" s="7"/>
      <c r="C16" s="14"/>
      <c r="D16" s="14"/>
      <c r="E16" s="17">
        <f t="shared" si="0"/>
        <v>0</v>
      </c>
    </row>
    <row r="17" spans="1:5" x14ac:dyDescent="0.2">
      <c r="A17" s="7"/>
      <c r="B17" s="7"/>
      <c r="C17" s="14"/>
      <c r="D17" s="14"/>
      <c r="E17" s="17">
        <f t="shared" si="0"/>
        <v>0</v>
      </c>
    </row>
    <row r="18" spans="1:5" x14ac:dyDescent="0.2">
      <c r="A18" s="7"/>
      <c r="B18" s="7"/>
      <c r="C18" s="14"/>
      <c r="D18" s="14"/>
      <c r="E18" s="17">
        <f t="shared" si="0"/>
        <v>0</v>
      </c>
    </row>
    <row r="19" spans="1:5" x14ac:dyDescent="0.2">
      <c r="A19" s="7"/>
      <c r="B19" s="7"/>
      <c r="C19" s="14"/>
      <c r="D19" s="14"/>
      <c r="E19" s="17">
        <f t="shared" si="0"/>
        <v>0</v>
      </c>
    </row>
    <row r="20" spans="1:5" x14ac:dyDescent="0.2">
      <c r="A20" s="7"/>
      <c r="B20" s="7"/>
      <c r="C20" s="14"/>
      <c r="D20" s="14"/>
      <c r="E20" s="17">
        <f t="shared" si="0"/>
        <v>0</v>
      </c>
    </row>
    <row r="21" spans="1:5" x14ac:dyDescent="0.2">
      <c r="A21" s="7"/>
      <c r="B21" s="7"/>
      <c r="C21" s="14"/>
      <c r="D21" s="14"/>
      <c r="E21" s="17">
        <f t="shared" si="0"/>
        <v>0</v>
      </c>
    </row>
    <row r="22" spans="1:5" x14ac:dyDescent="0.2">
      <c r="A22" s="7"/>
      <c r="B22" s="7"/>
      <c r="C22" s="14"/>
      <c r="D22" s="14"/>
      <c r="E22" s="17">
        <f t="shared" si="0"/>
        <v>0</v>
      </c>
    </row>
    <row r="23" spans="1:5" x14ac:dyDescent="0.2">
      <c r="A23" s="7"/>
      <c r="B23" s="7"/>
      <c r="C23" s="14"/>
      <c r="D23" s="14"/>
      <c r="E23" s="17">
        <f t="shared" si="0"/>
        <v>0</v>
      </c>
    </row>
    <row r="24" spans="1:5" x14ac:dyDescent="0.2">
      <c r="A24" s="7"/>
      <c r="B24" s="7"/>
      <c r="C24" s="14"/>
      <c r="D24" s="14"/>
      <c r="E24" s="17">
        <f t="shared" si="0"/>
        <v>0</v>
      </c>
    </row>
    <row r="25" spans="1:5" x14ac:dyDescent="0.2">
      <c r="A25" s="7"/>
      <c r="B25" s="7"/>
      <c r="C25" s="14"/>
      <c r="D25" s="14"/>
      <c r="E25" s="17">
        <f t="shared" si="0"/>
        <v>0</v>
      </c>
    </row>
    <row r="26" spans="1:5" x14ac:dyDescent="0.2">
      <c r="A26" s="7"/>
      <c r="B26" s="7"/>
      <c r="C26" s="14"/>
      <c r="D26" s="14"/>
      <c r="E26" s="17">
        <f t="shared" si="0"/>
        <v>0</v>
      </c>
    </row>
    <row r="27" spans="1:5" x14ac:dyDescent="0.2">
      <c r="A27" s="7"/>
      <c r="B27" s="7"/>
      <c r="C27" s="14"/>
      <c r="D27" s="14"/>
      <c r="E27" s="17">
        <f t="shared" si="0"/>
        <v>0</v>
      </c>
    </row>
    <row r="28" spans="1:5" x14ac:dyDescent="0.2">
      <c r="A28" s="7"/>
      <c r="B28" s="7"/>
      <c r="C28" s="14"/>
      <c r="D28" s="14"/>
      <c r="E28" s="17">
        <f t="shared" si="0"/>
        <v>0</v>
      </c>
    </row>
    <row r="29" spans="1:5" x14ac:dyDescent="0.2">
      <c r="A29" s="7"/>
      <c r="B29" s="7"/>
      <c r="C29" s="14"/>
      <c r="D29" s="14"/>
      <c r="E29" s="17">
        <f t="shared" si="0"/>
        <v>0</v>
      </c>
    </row>
    <row r="30" spans="1:5" x14ac:dyDescent="0.2">
      <c r="A30" s="7"/>
      <c r="B30" s="7"/>
      <c r="C30" s="14"/>
      <c r="D30" s="14"/>
      <c r="E30" s="17">
        <f t="shared" si="0"/>
        <v>0</v>
      </c>
    </row>
    <row r="31" spans="1:5" x14ac:dyDescent="0.2">
      <c r="A31" s="7"/>
      <c r="B31" s="7"/>
      <c r="C31" s="14"/>
      <c r="D31" s="14"/>
      <c r="E31" s="17">
        <f t="shared" si="0"/>
        <v>0</v>
      </c>
    </row>
    <row r="32" spans="1:5" x14ac:dyDescent="0.2">
      <c r="A32" s="7"/>
      <c r="B32" s="7"/>
      <c r="C32" s="14"/>
      <c r="D32" s="14"/>
      <c r="E32" s="17">
        <f t="shared" si="0"/>
        <v>0</v>
      </c>
    </row>
    <row r="33" spans="1:5" x14ac:dyDescent="0.2">
      <c r="A33" s="7"/>
      <c r="B33" s="7"/>
      <c r="C33" s="14"/>
      <c r="D33" s="14"/>
      <c r="E33" s="17">
        <f t="shared" si="0"/>
        <v>0</v>
      </c>
    </row>
    <row r="34" spans="1:5" x14ac:dyDescent="0.2">
      <c r="A34" s="7"/>
      <c r="B34" s="7"/>
      <c r="C34" s="14"/>
      <c r="D34" s="14"/>
      <c r="E34" s="17">
        <f t="shared" si="0"/>
        <v>0</v>
      </c>
    </row>
    <row r="35" spans="1:5" x14ac:dyDescent="0.2">
      <c r="A35" s="7"/>
      <c r="B35" s="7"/>
      <c r="C35" s="14"/>
      <c r="D35" s="14"/>
      <c r="E35" s="17">
        <f t="shared" si="0"/>
        <v>0</v>
      </c>
    </row>
    <row r="36" spans="1:5" x14ac:dyDescent="0.2">
      <c r="A36" s="7"/>
      <c r="B36" s="7"/>
      <c r="C36" s="14"/>
      <c r="D36" s="14"/>
      <c r="E36" s="17">
        <f t="shared" si="0"/>
        <v>0</v>
      </c>
    </row>
    <row r="37" spans="1:5" x14ac:dyDescent="0.2">
      <c r="A37" s="7"/>
      <c r="B37" s="7"/>
      <c r="C37" s="14"/>
      <c r="D37" s="14"/>
      <c r="E37" s="17">
        <f t="shared" ref="E37:E68" si="1">D37-C37</f>
        <v>0</v>
      </c>
    </row>
    <row r="38" spans="1:5" x14ac:dyDescent="0.2">
      <c r="A38" s="7"/>
      <c r="B38" s="7"/>
      <c r="C38" s="14"/>
      <c r="D38" s="14"/>
      <c r="E38" s="17">
        <f t="shared" si="1"/>
        <v>0</v>
      </c>
    </row>
    <row r="39" spans="1:5" x14ac:dyDescent="0.2">
      <c r="A39" s="7"/>
      <c r="B39" s="7"/>
      <c r="C39" s="14"/>
      <c r="D39" s="14"/>
      <c r="E39" s="17">
        <f t="shared" si="1"/>
        <v>0</v>
      </c>
    </row>
    <row r="40" spans="1:5" x14ac:dyDescent="0.2">
      <c r="A40" s="7"/>
      <c r="B40" s="7"/>
      <c r="C40" s="14"/>
      <c r="D40" s="14"/>
      <c r="E40" s="17">
        <f t="shared" si="1"/>
        <v>0</v>
      </c>
    </row>
    <row r="41" spans="1:5" x14ac:dyDescent="0.2">
      <c r="A41" s="7"/>
      <c r="B41" s="7"/>
      <c r="C41" s="14"/>
      <c r="D41" s="14"/>
      <c r="E41" s="17">
        <f t="shared" si="1"/>
        <v>0</v>
      </c>
    </row>
    <row r="42" spans="1:5" x14ac:dyDescent="0.2">
      <c r="A42" s="7"/>
      <c r="B42" s="7"/>
      <c r="C42" s="14"/>
      <c r="D42" s="14"/>
      <c r="E42" s="17">
        <f t="shared" si="1"/>
        <v>0</v>
      </c>
    </row>
    <row r="43" spans="1:5" x14ac:dyDescent="0.2">
      <c r="A43" s="7"/>
      <c r="B43" s="7"/>
      <c r="C43" s="14"/>
      <c r="D43" s="14"/>
      <c r="E43" s="17">
        <f t="shared" si="1"/>
        <v>0</v>
      </c>
    </row>
    <row r="44" spans="1:5" x14ac:dyDescent="0.2">
      <c r="A44" s="7"/>
      <c r="B44" s="7"/>
      <c r="C44" s="14"/>
      <c r="D44" s="14"/>
      <c r="E44" s="17">
        <f t="shared" si="1"/>
        <v>0</v>
      </c>
    </row>
    <row r="45" spans="1:5" x14ac:dyDescent="0.2">
      <c r="A45" s="7"/>
      <c r="B45" s="7"/>
      <c r="C45" s="14"/>
      <c r="D45" s="14"/>
      <c r="E45" s="17">
        <f t="shared" si="1"/>
        <v>0</v>
      </c>
    </row>
    <row r="46" spans="1:5" x14ac:dyDescent="0.2">
      <c r="A46" s="7"/>
      <c r="B46" s="7"/>
      <c r="C46" s="14"/>
      <c r="D46" s="14"/>
      <c r="E46" s="17">
        <f t="shared" si="1"/>
        <v>0</v>
      </c>
    </row>
    <row r="47" spans="1:5" x14ac:dyDescent="0.2">
      <c r="A47" s="7"/>
      <c r="B47" s="7"/>
      <c r="C47" s="14"/>
      <c r="D47" s="14"/>
      <c r="E47" s="17">
        <f t="shared" si="1"/>
        <v>0</v>
      </c>
    </row>
    <row r="48" spans="1:5" x14ac:dyDescent="0.2">
      <c r="A48" s="7"/>
      <c r="B48" s="7"/>
      <c r="C48" s="14"/>
      <c r="D48" s="14"/>
      <c r="E48" s="17">
        <f t="shared" si="1"/>
        <v>0</v>
      </c>
    </row>
    <row r="49" spans="1:5" x14ac:dyDescent="0.2">
      <c r="A49" s="7"/>
      <c r="B49" s="7"/>
      <c r="C49" s="14"/>
      <c r="D49" s="14"/>
      <c r="E49" s="17">
        <f t="shared" si="1"/>
        <v>0</v>
      </c>
    </row>
    <row r="50" spans="1:5" x14ac:dyDescent="0.2">
      <c r="A50" s="7"/>
      <c r="B50" s="7"/>
      <c r="C50" s="14"/>
      <c r="D50" s="14"/>
      <c r="E50" s="17">
        <f t="shared" si="1"/>
        <v>0</v>
      </c>
    </row>
    <row r="51" spans="1:5" x14ac:dyDescent="0.2">
      <c r="A51" s="7"/>
      <c r="B51" s="7"/>
      <c r="C51" s="14"/>
      <c r="D51" s="14"/>
      <c r="E51" s="17">
        <f t="shared" si="1"/>
        <v>0</v>
      </c>
    </row>
    <row r="52" spans="1:5" x14ac:dyDescent="0.2">
      <c r="A52" s="7"/>
      <c r="B52" s="7"/>
      <c r="C52" s="14"/>
      <c r="D52" s="14"/>
      <c r="E52" s="17">
        <f t="shared" si="1"/>
        <v>0</v>
      </c>
    </row>
    <row r="53" spans="1:5" x14ac:dyDescent="0.2">
      <c r="A53" s="7"/>
      <c r="B53" s="7"/>
      <c r="C53" s="14"/>
      <c r="D53" s="14"/>
      <c r="E53" s="17">
        <f t="shared" si="1"/>
        <v>0</v>
      </c>
    </row>
    <row r="54" spans="1:5" x14ac:dyDescent="0.2">
      <c r="A54" s="7"/>
      <c r="B54" s="7"/>
      <c r="C54" s="14"/>
      <c r="D54" s="14"/>
      <c r="E54" s="17">
        <f t="shared" si="1"/>
        <v>0</v>
      </c>
    </row>
    <row r="55" spans="1:5" x14ac:dyDescent="0.2">
      <c r="A55" s="13" t="s">
        <v>132</v>
      </c>
      <c r="B55" s="15"/>
      <c r="C55" s="16">
        <f>SUM(C5:C54)</f>
        <v>0</v>
      </c>
      <c r="D55" s="16">
        <f>SUM(D5:D54)</f>
        <v>0</v>
      </c>
      <c r="E55" s="16">
        <f>SUM(E5:E54)</f>
        <v>0</v>
      </c>
    </row>
  </sheetData>
  <autoFilter ref="A4:E4" xr:uid="{00000000-0009-0000-0000-000007000000}"/>
  <mergeCells count="2">
    <mergeCell ref="A3:H3"/>
    <mergeCell ref="A2:H2"/>
  </mergeCells>
  <dataValidations count="1">
    <dataValidation type="decimal" operator="greaterThanOrEqual" allowBlank="1" showErrorMessage="1" errorTitle="Valor inválido" error="Digite um valor maior ou igual a zero." sqref="C5:D54" xr:uid="{00000000-0002-0000-0700-000001000000}">
      <formula1>0</formula1>
    </dataValidation>
  </dataValidations>
  <hyperlinks>
    <hyperlink ref="A1" location="Menu!A1" display="◀ Voltar ao Menu" xr:uid="{00000000-0004-0000-0700-000000000000}"/>
  </hyperlink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a das opções da lista." xr:uid="{00000000-0002-0000-0700-000000000000}">
          <x14:formula1>
            <xm:f>Listas_aux!$G$2:$G$7</xm:f>
          </x14:formula1>
          <xm:sqref>B5:B54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37"/>
  <sheetViews>
    <sheetView showGridLines="0" workbookViewId="0"/>
  </sheetViews>
  <sheetFormatPr baseColWidth="10" defaultColWidth="8.83203125" defaultRowHeight="15" x14ac:dyDescent="0.2"/>
  <cols>
    <col min="1" max="1" width="52" customWidth="1"/>
    <col min="2" max="2" width="22" customWidth="1"/>
    <col min="3" max="3" width="56" customWidth="1"/>
  </cols>
  <sheetData>
    <row r="1" spans="1:8" x14ac:dyDescent="0.2">
      <c r="A1" s="5" t="s">
        <v>92</v>
      </c>
    </row>
    <row r="2" spans="1:8" ht="26" customHeight="1" x14ac:dyDescent="0.2">
      <c r="A2" s="28" t="s">
        <v>153</v>
      </c>
      <c r="B2" s="22"/>
      <c r="C2" s="22"/>
      <c r="D2" s="22"/>
      <c r="E2" s="22"/>
      <c r="F2" s="22"/>
      <c r="G2" s="22"/>
      <c r="H2" s="22"/>
    </row>
    <row r="4" spans="1:8" x14ac:dyDescent="0.2">
      <c r="A4" s="24" t="s">
        <v>154</v>
      </c>
      <c r="B4" s="22"/>
      <c r="C4" s="22"/>
    </row>
    <row r="5" spans="1:8" x14ac:dyDescent="0.2">
      <c r="A5" s="18" t="s">
        <v>155</v>
      </c>
      <c r="B5" s="19">
        <f>SUMIF(Rendimentos!A5:A54,"Tributável",Rendimentos!D5:D54)</f>
        <v>0</v>
      </c>
    </row>
    <row r="6" spans="1:8" x14ac:dyDescent="0.2">
      <c r="A6" s="18" t="s">
        <v>156</v>
      </c>
      <c r="B6" s="19">
        <f>SUMIF(Rendimentos!A5:A54,"Isento e não tributável",Rendimentos!D5:D54)</f>
        <v>0</v>
      </c>
    </row>
    <row r="7" spans="1:8" x14ac:dyDescent="0.2">
      <c r="A7" s="18" t="s">
        <v>157</v>
      </c>
      <c r="B7" s="19">
        <f>SUMIF(Rendimentos!A5:A54,"Tributação exclusiva/definitiva",Rendimentos!D5:D54)</f>
        <v>0</v>
      </c>
    </row>
    <row r="8" spans="1:8" x14ac:dyDescent="0.2">
      <c r="A8" s="18" t="s">
        <v>158</v>
      </c>
      <c r="B8" s="19">
        <f>SUM(Rendimentos!E5:E54)</f>
        <v>0</v>
      </c>
    </row>
    <row r="9" spans="1:8" x14ac:dyDescent="0.2">
      <c r="A9" s="18" t="s">
        <v>159</v>
      </c>
      <c r="B9" s="19">
        <f>SUM(Rendimentos!F5:F54)</f>
        <v>0</v>
      </c>
    </row>
    <row r="10" spans="1:8" x14ac:dyDescent="0.2">
      <c r="A10" s="18" t="s">
        <v>160</v>
      </c>
      <c r="B10" s="20">
        <f>COUNTA(Dependentes!A5:A34)</f>
        <v>0</v>
      </c>
    </row>
    <row r="12" spans="1:8" x14ac:dyDescent="0.2">
      <c r="A12" s="24" t="s">
        <v>161</v>
      </c>
      <c r="B12" s="22"/>
      <c r="C12" s="22"/>
    </row>
    <row r="13" spans="1:8" x14ac:dyDescent="0.2">
      <c r="A13" s="18" t="s">
        <v>47</v>
      </c>
      <c r="B13" s="19">
        <f>SUMIF(Pagamentos!A5:A54,"Despesas médicas",Pagamentos!F5:F54)</f>
        <v>0</v>
      </c>
    </row>
    <row r="14" spans="1:8" x14ac:dyDescent="0.2">
      <c r="A14" s="18" t="s">
        <v>54</v>
      </c>
      <c r="B14" s="19">
        <f>SUMIF(Pagamentos!A5:A54,"Plano de saúde",Pagamentos!F5:F54)</f>
        <v>0</v>
      </c>
    </row>
    <row r="15" spans="1:8" x14ac:dyDescent="0.2">
      <c r="A15" s="18" t="s">
        <v>61</v>
      </c>
      <c r="B15" s="19">
        <f>SUMIF(Pagamentos!A5:A54,"Educação",Pagamentos!F5:F54)</f>
        <v>0</v>
      </c>
    </row>
    <row r="16" spans="1:8" x14ac:dyDescent="0.2">
      <c r="A16" s="18" t="s">
        <v>67</v>
      </c>
      <c r="B16" s="19">
        <f>SUMIF(Pagamentos!A5:A54,"Previdência oficial (INSS)",Pagamentos!F5:F54)</f>
        <v>0</v>
      </c>
    </row>
    <row r="17" spans="1:3" x14ac:dyDescent="0.2">
      <c r="A17" s="18" t="s">
        <v>73</v>
      </c>
      <c r="B17" s="19">
        <f>SUMIF(Pagamentos!A5:A54,"Previdência privada (PGBL)",Pagamentos!F5:F54)</f>
        <v>0</v>
      </c>
    </row>
    <row r="18" spans="1:3" x14ac:dyDescent="0.2">
      <c r="A18" s="18" t="s">
        <v>79</v>
      </c>
      <c r="B18" s="19">
        <f>SUMIF(Pagamentos!A5:A54,"Pensão alimentícia",Pagamentos!F5:F54)</f>
        <v>0</v>
      </c>
    </row>
    <row r="19" spans="1:3" x14ac:dyDescent="0.2">
      <c r="A19" s="18" t="s">
        <v>85</v>
      </c>
      <c r="B19" s="19">
        <f>SUMIF(Pagamentos!A5:A54,"Doações incentivadas",Pagamentos!F5:F54)</f>
        <v>0</v>
      </c>
    </row>
    <row r="20" spans="1:3" x14ac:dyDescent="0.2">
      <c r="A20" s="18" t="s">
        <v>89</v>
      </c>
      <c r="B20" s="19">
        <f>SUMIF(Pagamentos!A5:A54,"Serviços de profissionais",Pagamentos!F5:F54)</f>
        <v>0</v>
      </c>
    </row>
    <row r="21" spans="1:3" x14ac:dyDescent="0.2">
      <c r="A21" s="18" t="s">
        <v>91</v>
      </c>
      <c r="B21" s="19">
        <f>SUMIF(Pagamentos!A5:A54,"Outros pagamentos",Pagamentos!F5:F54)</f>
        <v>0</v>
      </c>
    </row>
    <row r="22" spans="1:3" x14ac:dyDescent="0.2">
      <c r="A22" s="13" t="s">
        <v>162</v>
      </c>
      <c r="B22" s="16">
        <f>SUM(Pagamentos!F5:F54)</f>
        <v>0</v>
      </c>
      <c r="C22" s="11" t="s">
        <v>163</v>
      </c>
    </row>
    <row r="24" spans="1:3" x14ac:dyDescent="0.2">
      <c r="A24" s="24" t="s">
        <v>164</v>
      </c>
      <c r="B24" s="22"/>
      <c r="C24" s="22"/>
    </row>
    <row r="25" spans="1:3" x14ac:dyDescent="0.2">
      <c r="A25" s="18" t="s">
        <v>165</v>
      </c>
      <c r="B25" s="19">
        <f>SUM('Bens e Direitos'!D5:D54)</f>
        <v>0</v>
      </c>
    </row>
    <row r="26" spans="1:3" x14ac:dyDescent="0.2">
      <c r="A26" s="18" t="s">
        <v>166</v>
      </c>
      <c r="B26" s="19">
        <f>SUM('Dívidas e Ônus'!D5:D54)</f>
        <v>0</v>
      </c>
    </row>
    <row r="28" spans="1:3" x14ac:dyDescent="0.2">
      <c r="A28" s="24" t="s">
        <v>167</v>
      </c>
      <c r="B28" s="22"/>
      <c r="C28" s="22"/>
    </row>
    <row r="29" spans="1:3" x14ac:dyDescent="0.2">
      <c r="A29" s="18" t="s">
        <v>168</v>
      </c>
      <c r="B29" s="30" t="str">
        <f>IF(LEN(TRIM(Contribuinte!B4))&gt;0,"✔ OK","❌ Pendente — aba Contribuinte")</f>
        <v>❌ Pendente — aba Contribuinte</v>
      </c>
      <c r="C29" s="31"/>
    </row>
    <row r="30" spans="1:3" x14ac:dyDescent="0.2">
      <c r="A30" s="18" t="s">
        <v>169</v>
      </c>
      <c r="B30" s="30" t="str">
        <f>IF(LEN(TRIM(Contribuinte!B5))&gt;0,"✔ OK","❌ Pendente — aba Contribuinte")</f>
        <v>❌ Pendente — aba Contribuinte</v>
      </c>
      <c r="C30" s="31"/>
    </row>
    <row r="31" spans="1:3" x14ac:dyDescent="0.2">
      <c r="A31" s="18" t="s">
        <v>170</v>
      </c>
      <c r="B31" s="30" t="str">
        <f>IF(LEN(TRIM(Contribuinte!B6))&gt;0,"✔ OK","❌ Pendente — aba Contribuinte")</f>
        <v>❌ Pendente — aba Contribuinte</v>
      </c>
      <c r="C31" s="31"/>
    </row>
    <row r="32" spans="1:3" x14ac:dyDescent="0.2">
      <c r="A32" s="18" t="s">
        <v>171</v>
      </c>
      <c r="B32" s="30" t="str">
        <f>IF(COUNTA(Rendimentos!B5:B54)&gt;0,"✔ OK","❌ Pendente — aba Rendimentos")</f>
        <v>❌ Pendente — aba Rendimentos</v>
      </c>
      <c r="C32" s="31"/>
    </row>
    <row r="33" spans="1:3" x14ac:dyDescent="0.2">
      <c r="A33" s="18" t="s">
        <v>172</v>
      </c>
      <c r="B33" s="30" t="str">
        <f>IF(COUNTA(Dependentes!A5:A34)=COUNTA(Dependentes!B5:B34),"✔ OK","❌ Verifique — aba Dependentes")</f>
        <v>✔ OK</v>
      </c>
      <c r="C33" s="31"/>
    </row>
    <row r="34" spans="1:3" x14ac:dyDescent="0.2">
      <c r="A34" s="18" t="s">
        <v>173</v>
      </c>
      <c r="B34" s="30" t="str">
        <f>IF(COUNTA(Rendimentos!B5:B54)=COUNTA(Rendimentos!C5:C54),"✔ OK","❌ Verifique — aba Rendimentos")</f>
        <v>✔ OK</v>
      </c>
      <c r="C34" s="31"/>
    </row>
    <row r="36" spans="1:3" x14ac:dyDescent="0.2">
      <c r="A36" s="32" t="s">
        <v>174</v>
      </c>
      <c r="B36" s="22"/>
      <c r="C36" s="22"/>
    </row>
    <row r="37" spans="1:3" x14ac:dyDescent="0.2">
      <c r="A37" s="22"/>
      <c r="B37" s="22"/>
      <c r="C37" s="22"/>
    </row>
  </sheetData>
  <mergeCells count="12">
    <mergeCell ref="A36:C37"/>
    <mergeCell ref="B34:C34"/>
    <mergeCell ref="B32:C32"/>
    <mergeCell ref="B31:C31"/>
    <mergeCell ref="A12:C12"/>
    <mergeCell ref="A4:C4"/>
    <mergeCell ref="A24:C24"/>
    <mergeCell ref="A28:C28"/>
    <mergeCell ref="B30:C30"/>
    <mergeCell ref="B29:C29"/>
    <mergeCell ref="B33:C33"/>
    <mergeCell ref="A2:H2"/>
  </mergeCells>
  <hyperlinks>
    <hyperlink ref="A1" location="Menu!A1" display="◀ Voltar ao Menu" xr:uid="{00000000-0004-0000-0800-000000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Menu</vt:lpstr>
      <vt:lpstr>Contribuinte</vt:lpstr>
      <vt:lpstr>Dependentes</vt:lpstr>
      <vt:lpstr>Rendimentos</vt:lpstr>
      <vt:lpstr>Pagamentos</vt:lpstr>
      <vt:lpstr>Bens e Direitos</vt:lpstr>
      <vt:lpstr>Dívidas e Ônus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Organizador — Declaração de Imposto de Renda</dc:title>
  <dc:creator>Muse</dc:creator>
  <cp:lastModifiedBy>ISRAEL SOUZA</cp:lastModifiedBy>
  <dcterms:created xsi:type="dcterms:W3CDTF">2026-10-15T14:44:21Z</dcterms:created>
  <dcterms:modified xsi:type="dcterms:W3CDTF">2026-10-15T14:44:21Z</dcterms:modified>
</cp:coreProperties>
</file>